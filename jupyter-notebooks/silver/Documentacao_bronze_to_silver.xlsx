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ean\projetos\Hackathon2025-Telco\jupyter-notebooks\silver\"/>
    </mc:Choice>
  </mc:AlternateContent>
  <xr:revisionPtr revIDLastSave="0" documentId="13_ncr:1_{F1DE23E3-E7B4-4129-A5AB-D6F96D4B873D}" xr6:coauthVersionLast="47" xr6:coauthVersionMax="47" xr10:uidLastSave="{00000000-0000-0000-0000-000000000000}"/>
  <bookViews>
    <workbookView xWindow="-108" yWindow="-108" windowWidth="23256" windowHeight="12456" activeTab="3" xr2:uid="{01548A7E-1B7A-4C47-A300-BF68119BB3D0}"/>
  </bookViews>
  <sheets>
    <sheet name="base_pagamento" sheetId="1" r:id="rId1"/>
    <sheet name="base_atraso" sheetId="5" r:id="rId2"/>
    <sheet name="base_recarga" sheetId="6" r:id="rId3"/>
    <sheet name="DEDUP_BASE_RECARGA" sheetId="7" r:id="rId4"/>
    <sheet name="base_telco" sheetId="2" r:id="rId5"/>
    <sheet name="base_cadastral" sheetId="3" r:id="rId6"/>
    <sheet name="base_bureau" sheetId="4" r:id="rId7"/>
  </sheets>
  <definedNames>
    <definedName name="_xlnm._FilterDatabase" localSheetId="0" hidden="1">base_pagamento!$A$1:$C$76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7" l="1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</calcChain>
</file>

<file path=xl/sharedStrings.xml><?xml version="1.0" encoding="utf-8"?>
<sst xmlns="http://schemas.openxmlformats.org/spreadsheetml/2006/main" count="841" uniqueCount="531">
  <si>
    <t>Nome da Variável</t>
  </si>
  <si>
    <t>Expressão Matemática/Transformação</t>
  </si>
  <si>
    <t>Explicação da Transformação</t>
  </si>
  <si>
    <t>NUM_CPF</t>
  </si>
  <si>
    <t>try_cast(NUM_CPF as STRING)</t>
  </si>
  <si>
    <t>Converte o campo NUM_CPF para string, tratando possíveis erros de conversão (retorna NULL em caso de falha)</t>
  </si>
  <si>
    <t>SAFRA</t>
  </si>
  <si>
    <t>try_cast(SAFRA as INT)</t>
  </si>
  <si>
    <t>DAT_STATUS_FATURA</t>
  </si>
  <si>
    <t>case when trim(DAT_STATUS_FATURA) in ('null', 'NULL', '') then null else try_cast(to_timestamp(trim(DAT_STATUS_FATURA), 'ddMMMyyyy:HH:mm:ss') as TIMESTAMP) end</t>
  </si>
  <si>
    <t>Trata valores inválidos ('null', 'NULL', vazio) como NULL, converte strings formatadas para timestamp no padrão especificado</t>
  </si>
  <si>
    <t>CONTRATO</t>
  </si>
  <si>
    <t>try_cast(CONTRATO as BIGINT)</t>
  </si>
  <si>
    <t>SEQ_FATURA</t>
  </si>
  <si>
    <t>try_cast(SEQ_FATURA as INT)</t>
  </si>
  <si>
    <t>NUM_SUB_SEQ_FATURA</t>
  </si>
  <si>
    <t>try_cast(NUM_SUB_SEQ_FATURA as INT)</t>
  </si>
  <si>
    <t>NUM_CREDITO_SEQ</t>
  </si>
  <si>
    <t>try_cast(NUM_CREDITO_SEQ as INT)</t>
  </si>
  <si>
    <t>DW_TIPO_FATURA</t>
  </si>
  <si>
    <t>try_cast(DW_TIPO_FATURA as INT)</t>
  </si>
  <si>
    <t>IND_STATUS_FATURA</t>
  </si>
  <si>
    <t>try_cast(IND_STATUS_FATURA as STRING)</t>
  </si>
  <si>
    <t>DW_NUM_CLIENTE</t>
  </si>
  <si>
    <t>try_cast(DW_NUM_CLIENTE as BIGINT)</t>
  </si>
  <si>
    <t>DW_AREA</t>
  </si>
  <si>
    <t>try_cast(DW_AREA as INT)</t>
  </si>
  <si>
    <t>DW_UN_NEGOCIO</t>
  </si>
  <si>
    <t>try_cast(DW_UN_NEGOCIO as INT)</t>
  </si>
  <si>
    <t>DW_FORMA_PAGAMENTO</t>
  </si>
  <si>
    <t>try_cast(DW_FORMA_PAGAMENTO as INT)</t>
  </si>
  <si>
    <t>VAL_PAGAMENTO_FATURA</t>
  </si>
  <si>
    <t>try_cast(VAL_PAGAMENTO_FATURA as DECIMAL(10,2))</t>
  </si>
  <si>
    <t>Converte para decimal com 10 dígitos totais e 2 casas decimais (formato monetário)</t>
  </si>
  <si>
    <t>DAT_CRIACAO_DW</t>
  </si>
  <si>
    <t>case when trim(DAT_CRIACAO_DW) in ('null', 'NULL', '') then null else try_cast(to_timestamp(trim(DAT_CRIACAO_DW), 'ddMMMyyyy:HH:mm:ss') as TIMESTAMP) end</t>
  </si>
  <si>
    <t>Trata valores inválidos como NULL, converte para timestamp no formato especificado</t>
  </si>
  <si>
    <t>DW_BANCO</t>
  </si>
  <si>
    <t>try_cast(DW_BANCO as INT)</t>
  </si>
  <si>
    <t>DW_TIPO_PAGAMENTO</t>
  </si>
  <si>
    <t>try_cast(DW_TIPO_PAGAMENTO as INT)</t>
  </si>
  <si>
    <t>NUM_BANCO_PAGAMENTO</t>
  </si>
  <si>
    <t>try_cast(NUM_BANCO_PAGAMENTO as STRING)</t>
  </si>
  <si>
    <t>NUM_AGENCIA_PAGAMENTO</t>
  </si>
  <si>
    <t>try_cast(NUM_AGENCIA_PAGAMENTO as STRING)</t>
  </si>
  <si>
    <t>NUM_CC_PAGAMENTO</t>
  </si>
  <si>
    <t>try_cast(NUM_CC_PAGAMENTO as STRING)</t>
  </si>
  <si>
    <t>DW_MOTIVO_ESTORNO</t>
  </si>
  <si>
    <t>try_cast(DW_MOTIVO_ESTORNO as INT)</t>
  </si>
  <si>
    <t>VAL_DESCONTO_ITEM</t>
  </si>
  <si>
    <t>try_cast(VAL_DESCONTO_ITEM as DECIMAL(10,2))</t>
  </si>
  <si>
    <t>VAL_PAGAMENTO_ITEM</t>
  </si>
  <si>
    <t>try_cast(VAL_PAGAMENTO_ITEM as DECIMAL(10,2))</t>
  </si>
  <si>
    <t>VAL_JUROS_MULTAS_ITEM</t>
  </si>
  <si>
    <t>try_cast(VAL_JUROS_MULTAS_ITEM as DECIMAL(10,2))</t>
  </si>
  <si>
    <t>VAL_MULTA_EQUIP_ITEM</t>
  </si>
  <si>
    <t>try_cast(VAL_MULTA_EQUIP_ITEM as DECIMAL(10,2))</t>
  </si>
  <si>
    <t>VAL_MULTA_EQUIP_TOTAL</t>
  </si>
  <si>
    <t>try_cast(VAL_MULTA_EQUIP_TOTAL as DECIMAL(10,2))</t>
  </si>
  <si>
    <t>VAL_MULTA_FID_ITEM</t>
  </si>
  <si>
    <t>try_cast(VAL_MULTA_FID_ITEM as DECIMAL(10,2))</t>
  </si>
  <si>
    <t>COD_ORIGEM_NETUNO</t>
  </si>
  <si>
    <t>try_cast(COD_ORIGEM_NETUNO as STRING)</t>
  </si>
  <si>
    <t>COD_CONTA_ATIVIDADE</t>
  </si>
  <si>
    <t>try_cast(COD_CONTA_ATIVIDADE as STRING)</t>
  </si>
  <si>
    <t>SEQ_ENTIDADE_ATIVIDADE</t>
  </si>
  <si>
    <t>try_cast(SEQ_ENTIDADE_ATIVIDADE as INT)</t>
  </si>
  <si>
    <t>DAT_CRIACAO_ATIVIDADE</t>
  </si>
  <si>
    <t>case when trim(DAT_CRIACAO_ATIVIDADE) in ('null', 'NULL', '') then null else try_cast(to_timestamp(trim(DAT_CRIACAO_ATIVIDADE), 'ddMMMyyyy:HH:mm:ss') as TIMESTAMP) end</t>
  </si>
  <si>
    <t>Trata valores inválidos como NULL, converte para timestamp</t>
  </si>
  <si>
    <t>DAT_ATUALIZACAO_ATIVIDADE</t>
  </si>
  <si>
    <t>case when trim(DAT_ATUALIZACAO_ATIVIDADE) in ('null', 'NULL', '') then null else try_cast(to_timestamp(trim(DAT_ATUALIZACAO_ATIVIDADE), 'ddMMMyyyy:HH:mm:ss') as TIMESTAMP) end</t>
  </si>
  <si>
    <t>COD_LOGIN_OPERADOR_ATIVIDADE</t>
  </si>
  <si>
    <t>try_cast(COD_LOGIN_OPERADOR_ATIVIDADE as STRING)</t>
  </si>
  <si>
    <t>COD_ATIVIDADE</t>
  </si>
  <si>
    <t>try_cast(COD_ATIVIDADE as STRING)</t>
  </si>
  <si>
    <t>COD_RAZAO_ATIVIDADE</t>
  </si>
  <si>
    <t>try_cast(COD_RAZAO_ATIVIDADE as STRING)</t>
  </si>
  <si>
    <t>DAT_BAIXA_ATIVIDADE</t>
  </si>
  <si>
    <t>case when trim(DAT_BAIXA_ATIVIDADE) in ('null', 'NULL', '') then null else try_cast(to_timestamp(trim(DAT_BAIXA_ATIVIDADE), 'ddMMMyyyy:HH:mm:ss') as TIMESTAMP) end</t>
  </si>
  <si>
    <t>VAL_BAIXA_ATIVIDADE</t>
  </si>
  <si>
    <t>try_cast(VAL_BAIXA_ATIVIDADE as DECIMAL(10,2))</t>
  </si>
  <si>
    <t>DAT_DEPOSITO_ATIVIDADE</t>
  </si>
  <si>
    <t>case when trim(DAT_DEPOSITO_ATIVIDADE) in ('null', 'NULL', '') then null else try_cast(to_timestamp(trim(DAT_DEPOSITO_ATIVIDADE), 'ddMMMyyyy:HH:mm:ss') as TIMESTAMP) end</t>
  </si>
  <si>
    <t>COD_FUNDO_ATIVIDADE</t>
  </si>
  <si>
    <t>try_cast(COD_FUNDO_ATIVIDADE as STRING)</t>
  </si>
  <si>
    <t>COD_BANCO_ATIVIDADE</t>
  </si>
  <si>
    <t>try_cast(COD_BANCO_ATIVIDADE as STRING)</t>
  </si>
  <si>
    <t>NUM_CONTA_ATIVIDADE</t>
  </si>
  <si>
    <t>try_cast(NUM_CONTA_ATIVIDADE as STRING)</t>
  </si>
  <si>
    <t>COD_AGENCIA_ATIVIDADE</t>
  </si>
  <si>
    <t>try_cast(COD_AGENCIA_ATIVIDADE as STRING)</t>
  </si>
  <si>
    <t>SEQ_ENTIDADE_PAGAMENTO</t>
  </si>
  <si>
    <t>try_cast(SEQ_ENTIDADE_PAGAMENTO as INT)</t>
  </si>
  <si>
    <t>DAT_CRIACAO_PAGAMENTO</t>
  </si>
  <si>
    <t>case when trim(DAT_CRIACAO_PAGAMENTO) in ('null', 'NULL', '') then null else try_cast(to_timestamp(trim(DAT_CRIACAO_PAGAMENTO), 'ddMMMyyyy:HH:mm:ss') as TIMESTAMP) end</t>
  </si>
  <si>
    <t>DAT_ATUALIZACAO_PAGAMENTO</t>
  </si>
  <si>
    <t>case when trim(DAT_ATUALIZACAO_PAGAMENTO) in ('null', 'NULL', '') then null else try_cast(to_timestamp(trim(DAT_ATUALIZACAO_PAGAMENTO), 'ddMMMyyyy:HH:mm:ss') as TIMESTAMP) end</t>
  </si>
  <si>
    <t>COD_LOGIN_PAGAMENTO</t>
  </si>
  <si>
    <t>try_cast(COD_LOGIN_PAGAMENTO as STRING)</t>
  </si>
  <si>
    <t>COD_FORMA_PAGAMENTO</t>
  </si>
  <si>
    <t>try_cast(COD_FORMA_PAGAMENTO as STRING)</t>
  </si>
  <si>
    <t>VAL_ORIGINAL_PAGAMENTO</t>
  </si>
  <si>
    <t>try_cast(VAL_ORIGINAL_PAGAMENTO as DECIMAL(10,2))</t>
  </si>
  <si>
    <t>NUM_FATURA_PAGAMENTO</t>
  </si>
  <si>
    <t>try_cast(NUM_FATURA_PAGAMENTO as STRING)</t>
  </si>
  <si>
    <t>COD_TIPO_PAGAMENTO</t>
  </si>
  <si>
    <t>try_cast(COD_TIPO_PAGAMENTO as STRING)</t>
  </si>
  <si>
    <t>DSC_NOME_BANCO_PAGAMENTO</t>
  </si>
  <si>
    <t>try_cast(DSC_NOME_BANCO_PAGAMENTO as STRING)</t>
  </si>
  <si>
    <t>SEQ_ARQUIVO_PAGAMENTO</t>
  </si>
  <si>
    <t>try_cast(SEQ_ARQUIVO_PAGAMENTO as INT)</t>
  </si>
  <si>
    <t>NUM_PARCELA_PAGAMENTO</t>
  </si>
  <si>
    <t>try_cast(NUM_PARCELA_PAGAMENTO as STRING)</t>
  </si>
  <si>
    <t>NUM_AGRUPADOR_PAGAMENTO</t>
  </si>
  <si>
    <t>try_cast(NUM_AGRUPADOR_PAGAMENTO as STRING)</t>
  </si>
  <si>
    <t>DSC_PAGAMENTO</t>
  </si>
  <si>
    <t>try_cast(DSC_PAGAMENTO as STRING)</t>
  </si>
  <si>
    <t>VAL_ATUAL_PAGAMENTO</t>
  </si>
  <si>
    <t>try_cast(VAL_ATUAL_PAGAMENTO as DECIMAL(10,2))</t>
  </si>
  <si>
    <t>COD_METODO_PAGAMENTO</t>
  </si>
  <si>
    <t>try_cast(COD_METODO_PAGAMENTO as INT)</t>
  </si>
  <si>
    <t>IND_STATUS_PAGAMENTO</t>
  </si>
  <si>
    <t>try_cast(IND_STATUS_PAGAMENTO as STRING)</t>
  </si>
  <si>
    <t>DAT_STATUS_PAGAMENTO</t>
  </si>
  <si>
    <t>case when trim(DAT_STATUS_PAGAMENTO) in ('null', 'NULL', '') then null else try_cast(to_timestamp(trim(DAT_STATUS_PAGAMENTO), 'ddMMMyyyy:HH:mm:ss') as TIMESTAMP) end</t>
  </si>
  <si>
    <t>COD_ARQUIVO_PAGAMENTO</t>
  </si>
  <si>
    <t>try_cast(COD_ARQUIVO_PAGAMENTO as STRING)</t>
  </si>
  <si>
    <t>COD_NETUNO_PAGAMENTO</t>
  </si>
  <si>
    <t>try_cast(COD_NETUNO_PAGAMENTO as STRING)</t>
  </si>
  <si>
    <t>DAT_CRIACAO_CREDITO</t>
  </si>
  <si>
    <t>case when trim(DAT_CRIACAO_CREDITO) in ('null', 'NULL', '') then null else try_cast(to_timestamp(trim(DAT_CRIACAO_CREDITO), 'ddMMMyyyy:HH:mm:ss') as TIMESTAMP) end</t>
  </si>
  <si>
    <t>DAT_ATUALIZACAO_CREDITO</t>
  </si>
  <si>
    <t>case when trim(DAT_ATUALIZACAO_CREDITO) in ('null', 'NULL', '') then null else try_cast(to_timestamp(trim(DAT_ATUALIZACAO_CREDITO), 'ddMMMyyyy:HH:mm:ss') as TIMESTAMP) end</t>
  </si>
  <si>
    <t>COD_LOGIN_CREDITO</t>
  </si>
  <si>
    <t>try_cast(COD_LOGIN_CREDITO as STRING)</t>
  </si>
  <si>
    <t>VAL_PAGAMENTO_CREDITO</t>
  </si>
  <si>
    <t>try_cast(VAL_PAGAMENTO_CREDITO as DECIMAL(10,2))</t>
  </si>
  <si>
    <t>IND_TIPO_CREDITO</t>
  </si>
  <si>
    <t>try_cast(IND_TIPO_CREDITO as STRING)</t>
  </si>
  <si>
    <t>SEQ_PAGAMENTO_CREDITO</t>
  </si>
  <si>
    <t>try_cast(SEQ_PAGAMENTO_CREDITO as INT)</t>
  </si>
  <si>
    <t>SEQ_FATURA_CREDITO</t>
  </si>
  <si>
    <t>try_cast(SEQ_FATURA_CREDITO as INT)</t>
  </si>
  <si>
    <t>COD_ALOCACAO_CREDITO</t>
  </si>
  <si>
    <t>try_cast(COD_ALOCACAO_CREDITO as STRING)</t>
  </si>
  <si>
    <t>COD_DESALOCACAO_CREDITO</t>
  </si>
  <si>
    <t>try_cast(COD_DESALOCACAO_CREDITO as STRING)</t>
  </si>
  <si>
    <t>SEQ_ENTIDADE_CREDITO</t>
  </si>
  <si>
    <t>try_cast(SEQ_ENTIDADE_CREDITO as INT)</t>
  </si>
  <si>
    <t>COD_TIPO_FATURA</t>
  </si>
  <si>
    <t>try_cast(COD_TIPO_FATURA as STRING)</t>
  </si>
  <si>
    <t>DAT_ATIVIDADE_CREDITO</t>
  </si>
  <si>
    <t>case when trim(DAT_ATIVIDADE_CREDITO) in ('null', 'NULL', '') then null else try_cast(to_timestamp(trim(DAT_ATIVIDADE_CREDITO), 'ddMMMyyyy:HH:mm:ss') as TIMESTAMP) end</t>
  </si>
  <si>
    <t>DAT_VENCIMENTO_CREDITO</t>
  </si>
  <si>
    <t>case when trim(DAT_VENCIMENTO_CREDITO) in ('null', 'NULL', '') then null else try_cast(to_timestamp(trim(DAT_VENCIMENTO_CREDITO), 'ddMMMyyyy:HH:mm:ss') as TIMESTAMP) end</t>
  </si>
  <si>
    <t>DATPROC</t>
  </si>
  <si>
    <t>{pdthproc} as DATPROC</t>
  </si>
  <si>
    <r>
      <t xml:space="preserve">Atribui o valor da variável externa </t>
    </r>
    <r>
      <rPr>
        <sz val="10"/>
        <color theme="1"/>
        <rFont val="Arial Unicode MS"/>
      </rPr>
      <t>dthproc</t>
    </r>
    <r>
      <rPr>
        <sz val="11"/>
        <color theme="1"/>
        <rFont val="Calibri"/>
        <family val="2"/>
        <scheme val="minor"/>
      </rPr>
      <t xml:space="preserve"> como data de processamento, usando formatação de string do Python</t>
    </r>
  </si>
  <si>
    <t>Converte para inteiro com tratamento de erros retorna null</t>
  </si>
  <si>
    <t>Converte para string com tratamento de erros retorna null</t>
  </si>
  <si>
    <t>Converte para decimal monetário com tratamento de erros retorna null</t>
  </si>
  <si>
    <t>cast(NUM_CPF as string)</t>
  </si>
  <si>
    <t>Converte o campo NUM_CPF para string (conversão direta sem tratamento de erros)</t>
  </si>
  <si>
    <t>cast(SAFRA as int)</t>
  </si>
  <si>
    <t>Converte o campo SAFRA para inteiro (conversão direta)</t>
  </si>
  <si>
    <t>FLAG_INSTALACAO</t>
  </si>
  <si>
    <t>try_cast(FLAG_INSTALACAO as int)</t>
  </si>
  <si>
    <t>FPD</t>
  </si>
  <si>
    <t>try_cast(FPD as int)</t>
  </si>
  <si>
    <t>PROD</t>
  </si>
  <si>
    <t>cast(PROD as string)</t>
  </si>
  <si>
    <t>Converte para string (conversão direta)</t>
  </si>
  <si>
    <t>flag_mig2</t>
  </si>
  <si>
    <t>cast(flag_mig2 as string)</t>
  </si>
  <si>
    <t>var_26</t>
  </si>
  <si>
    <t>try_cast(var_26 as int)</t>
  </si>
  <si>
    <t>var_27</t>
  </si>
  <si>
    <t>try_cast(var_27 as int)</t>
  </si>
  <si>
    <t>var_28</t>
  </si>
  <si>
    <t>try_cast(var_28 as decimal(10,2))</t>
  </si>
  <si>
    <t>var_29</t>
  </si>
  <si>
    <t>try_cast(var_29 as decimal(10,2))</t>
  </si>
  <si>
    <t>var_30</t>
  </si>
  <si>
    <t>try_cast(var_30 as decimal(10,2))</t>
  </si>
  <si>
    <t>var_31</t>
  </si>
  <si>
    <t>try_cast(var_31 as decimal(10,2))</t>
  </si>
  <si>
    <t>var_32</t>
  </si>
  <si>
    <t>try_cast(var_32 as decimal(10,2))</t>
  </si>
  <si>
    <t>var_33</t>
  </si>
  <si>
    <t>try_cast(var_33 as decimal(10,2))</t>
  </si>
  <si>
    <t>var_34</t>
  </si>
  <si>
    <t>try_cast(var_34 as decimal(10,2))</t>
  </si>
  <si>
    <t>var_35</t>
  </si>
  <si>
    <t>try_cast(var_35 as decimal(10,2))</t>
  </si>
  <si>
    <t>var_36</t>
  </si>
  <si>
    <t>try_cast(var_36 as decimal(10,2))</t>
  </si>
  <si>
    <t>var_37</t>
  </si>
  <si>
    <t>try_cast(var_37 as decimal(10,2))</t>
  </si>
  <si>
    <t>var_38</t>
  </si>
  <si>
    <t>try_cast(var_38 as decimal(10,2))</t>
  </si>
  <si>
    <t>var_39</t>
  </si>
  <si>
    <t>try_cast(var_39 as decimal(10,2))</t>
  </si>
  <si>
    <t>var_40</t>
  </si>
  <si>
    <t>try_cast(var_40 as decimal(10,2))</t>
  </si>
  <si>
    <t>var_41</t>
  </si>
  <si>
    <t>try_cast(var_41 as decimal(10,2))</t>
  </si>
  <si>
    <t>var_42</t>
  </si>
  <si>
    <t>try_cast(var_42 as decimal(10,2))</t>
  </si>
  <si>
    <t>var_43</t>
  </si>
  <si>
    <t>try_cast(var_43 as decimal(10,2))</t>
  </si>
  <si>
    <t>var_44</t>
  </si>
  <si>
    <t>try_cast(var_44 as decimal(10,2))</t>
  </si>
  <si>
    <t>var_45</t>
  </si>
  <si>
    <t>try_cast(var_45 as decimal(10,2))</t>
  </si>
  <si>
    <t>var_46</t>
  </si>
  <si>
    <t>try_cast(var_46 as decimal(10,2))</t>
  </si>
  <si>
    <t>var_47</t>
  </si>
  <si>
    <t>try_cast(var_47 as decimal(10,2))</t>
  </si>
  <si>
    <t>var_48</t>
  </si>
  <si>
    <t>try_cast(var_48 as decimal(10,2))</t>
  </si>
  <si>
    <t>var_49</t>
  </si>
  <si>
    <t>try_cast(var_49 as decimal(10,2))</t>
  </si>
  <si>
    <t>var_50</t>
  </si>
  <si>
    <t>try_cast(var_50 as decimal(10,2))</t>
  </si>
  <si>
    <t>var_51</t>
  </si>
  <si>
    <t>try_cast(var_51 as decimal(10,2))</t>
  </si>
  <si>
    <t>var_52</t>
  </si>
  <si>
    <t>try_cast(var_52 as decimal(10,2))</t>
  </si>
  <si>
    <t>var_53</t>
  </si>
  <si>
    <t>try_cast(var_53 as decimal(10,2))</t>
  </si>
  <si>
    <t>var_54</t>
  </si>
  <si>
    <t>try_cast(var_54 as decimal(10,2))</t>
  </si>
  <si>
    <t>var_55</t>
  </si>
  <si>
    <t>try_cast(var_55 as decimal(10,2))</t>
  </si>
  <si>
    <t>var_56</t>
  </si>
  <si>
    <t>try_cast(var_56 as decimal(10,2))</t>
  </si>
  <si>
    <t>var_57</t>
  </si>
  <si>
    <t>try_cast(var_57 as decimal(10,2))</t>
  </si>
  <si>
    <t>var_58</t>
  </si>
  <si>
    <t>try_cast(var_58 as decimal(10,2))</t>
  </si>
  <si>
    <t>var_59</t>
  </si>
  <si>
    <t>try_cast(var_59 as decimal(10,2))</t>
  </si>
  <si>
    <t>var_60</t>
  </si>
  <si>
    <t>try_cast(var_60 as decimal(10,2))</t>
  </si>
  <si>
    <t>var_61</t>
  </si>
  <si>
    <t>try_cast(var_61 as decimal(10,2))</t>
  </si>
  <si>
    <t>var_62</t>
  </si>
  <si>
    <t>try_cast(var_62 as decimal(10,2))</t>
  </si>
  <si>
    <t>var_63</t>
  </si>
  <si>
    <t>try_cast(var_63 as decimal(10,2))</t>
  </si>
  <si>
    <t>var_64</t>
  </si>
  <si>
    <t>try_cast(var_64 as decimal(10,2))</t>
  </si>
  <si>
    <t>var_65</t>
  </si>
  <si>
    <t>try_cast(var_65 as decimal(10,2))</t>
  </si>
  <si>
    <t>var_66</t>
  </si>
  <si>
    <t>try_cast(var_66 as decimal(10,2))</t>
  </si>
  <si>
    <t>var_67</t>
  </si>
  <si>
    <t>try_cast(var_67 as decimal(10,2))</t>
  </si>
  <si>
    <t>var_68</t>
  </si>
  <si>
    <t>try_cast(var_68 as decimal(10,2))</t>
  </si>
  <si>
    <t>var_69</t>
  </si>
  <si>
    <t>try_cast(var_69 as decimal(10,2))</t>
  </si>
  <si>
    <t>var_70</t>
  </si>
  <si>
    <t>try_cast(var_70 as decimal(10,2))</t>
  </si>
  <si>
    <t>var_71</t>
  </si>
  <si>
    <t>try_cast(var_71 as decimal(10,2))</t>
  </si>
  <si>
    <t>var_72</t>
  </si>
  <si>
    <t>try_cast(var_72 as decimal(10,2))</t>
  </si>
  <si>
    <t>var_73</t>
  </si>
  <si>
    <t>try_cast(var_73 as decimal(10,2))</t>
  </si>
  <si>
    <t>var_74</t>
  </si>
  <si>
    <t>try_cast(var_74 as int)</t>
  </si>
  <si>
    <t>var_75</t>
  </si>
  <si>
    <t>try_cast(var_75 as int)</t>
  </si>
  <si>
    <t>var_76</t>
  </si>
  <si>
    <t>try_cast(var_76 as int)</t>
  </si>
  <si>
    <t>var_77</t>
  </si>
  <si>
    <t>try_cast(var_77 as int)</t>
  </si>
  <si>
    <t>var_78</t>
  </si>
  <si>
    <t>try_cast(var_78 as int)</t>
  </si>
  <si>
    <t>var_79</t>
  </si>
  <si>
    <t>try_cast(var_79 as decimal(10,2))</t>
  </si>
  <si>
    <t>var_80</t>
  </si>
  <si>
    <t>try_cast(var_80 as decimal(10,2))</t>
  </si>
  <si>
    <t>var_81</t>
  </si>
  <si>
    <t>try_cast(var_81 as decimal(10,2))</t>
  </si>
  <si>
    <t>var_82</t>
  </si>
  <si>
    <t>try_cast(var_82 as int)</t>
  </si>
  <si>
    <t>var_83</t>
  </si>
  <si>
    <t>try_cast(var_83 as int)</t>
  </si>
  <si>
    <t>var_84</t>
  </si>
  <si>
    <t>try_cast(var_84 as int)</t>
  </si>
  <si>
    <t>var_85</t>
  </si>
  <si>
    <t>try_cast(var_85 as int)</t>
  </si>
  <si>
    <t>var_86</t>
  </si>
  <si>
    <t>try_cast(var_86 as decimal(10,2))</t>
  </si>
  <si>
    <t>var_87</t>
  </si>
  <si>
    <t>try_cast(var_87 as int)</t>
  </si>
  <si>
    <t>var_88</t>
  </si>
  <si>
    <t>try_cast(var_88 as int)</t>
  </si>
  <si>
    <t>var_89</t>
  </si>
  <si>
    <t>try_cast(var_89 as int)</t>
  </si>
  <si>
    <t>var_90</t>
  </si>
  <si>
    <t>try_cast(var_90 as int)</t>
  </si>
  <si>
    <t>var_91</t>
  </si>
  <si>
    <t>try_cast(var_91 as int)</t>
  </si>
  <si>
    <t>var_92</t>
  </si>
  <si>
    <t>try_cast(var_92 as int)</t>
  </si>
  <si>
    <t>var_93</t>
  </si>
  <si>
    <t>try_cast(var_93 as int)</t>
  </si>
  <si>
    <r>
      <t xml:space="preserve">Atribui o valor da variável externa </t>
    </r>
    <r>
      <rPr>
        <sz val="10"/>
        <color theme="1"/>
        <rFont val="Arial Unicode MS"/>
      </rPr>
      <t>dthproc</t>
    </r>
    <r>
      <rPr>
        <sz val="11"/>
        <color theme="1"/>
        <rFont val="Calibri"/>
        <family val="2"/>
        <scheme val="minor"/>
      </rPr>
      <t xml:space="preserve"> como data de processamento</t>
    </r>
  </si>
  <si>
    <t>Converte para inteiro com tratamento de erros retorna null (retorna NULL em falha)</t>
  </si>
  <si>
    <t>Converte o campo NUM_CPF para string (conversão direta)</t>
  </si>
  <si>
    <t>try_cast(SAFRA as int)</t>
  </si>
  <si>
    <t>STATUSRF</t>
  </si>
  <si>
    <t>cast(STATUSRF as string)</t>
  </si>
  <si>
    <t>DATADENASCIMENTO</t>
  </si>
  <si>
    <t>case when trim(DATADENASCIMENTO) in ('null', 'NULL', '') then null else to_date(trim(DATADENASCIMENTO), 'dd/MM/yyyy') end</t>
  </si>
  <si>
    <t>Trata valores inválidos como NULL, converte string para data no formato brasileiro (dd/MM/yyyy)</t>
  </si>
  <si>
    <t>var_03</t>
  </si>
  <si>
    <t>try_cast(var_03 as int)</t>
  </si>
  <si>
    <t>var_02</t>
  </si>
  <si>
    <t>try_cast(var_02 as int)</t>
  </si>
  <si>
    <t>var_04</t>
  </si>
  <si>
    <t>try_cast(var_04 as int)</t>
  </si>
  <si>
    <t>var_05</t>
  </si>
  <si>
    <t>try_cast(var_05 as int)</t>
  </si>
  <si>
    <t>var_06</t>
  </si>
  <si>
    <t>try_cast(var_06 as int)</t>
  </si>
  <si>
    <t>var_07</t>
  </si>
  <si>
    <t>try_cast(var_07 as int)</t>
  </si>
  <si>
    <t>var_08</t>
  </si>
  <si>
    <t>try_cast(var_08 as int)</t>
  </si>
  <si>
    <t>var_09</t>
  </si>
  <si>
    <t>try_cast(var_09 as int)</t>
  </si>
  <si>
    <t>var_10</t>
  </si>
  <si>
    <t>try_cast(var_10 as int)</t>
  </si>
  <si>
    <t>var_11</t>
  </si>
  <si>
    <t>try_cast(var_11 as int)</t>
  </si>
  <si>
    <t>var_12</t>
  </si>
  <si>
    <t>case when trim(var_12) in ('null', 'NULL', '') then null else to_date(trim(var_12), 'dd/MM/yyyy') end</t>
  </si>
  <si>
    <t>Trata valores inválidos como NULL, converte para data no formato dd/MM/yyyy</t>
  </si>
  <si>
    <t>var_13</t>
  </si>
  <si>
    <t>case when trim(var_13) in ('null', 'NULL', '') then null else to_date(trim(var_12), 'dd/MM/yyyy') end</t>
  </si>
  <si>
    <t>Trata valores inválidos como NULL, converte para data no formato dd/MM/yyyy (nota: há um possível erro - referencia var_12 em vez de var_13)</t>
  </si>
  <si>
    <t>var_14</t>
  </si>
  <si>
    <t>try_cast(var_14 as int)</t>
  </si>
  <si>
    <t>var_15</t>
  </si>
  <si>
    <t>try_cast(var_15 as int)</t>
  </si>
  <si>
    <t>var_16</t>
  </si>
  <si>
    <t>try_cast(var_16 as int)</t>
  </si>
  <si>
    <t>var_17</t>
  </si>
  <si>
    <t>try_cast(var_17 as int)</t>
  </si>
  <si>
    <t>var_18</t>
  </si>
  <si>
    <t>try_cast(var_18 as int)</t>
  </si>
  <si>
    <t>var_19</t>
  </si>
  <si>
    <t>try_cast(var_19 as int)</t>
  </si>
  <si>
    <t>var_20</t>
  </si>
  <si>
    <t>cast(var_20 as string)</t>
  </si>
  <si>
    <t>var_21</t>
  </si>
  <si>
    <t>cast(var_21 as string)</t>
  </si>
  <si>
    <t>var_22</t>
  </si>
  <si>
    <t>cast(var_22 as string)</t>
  </si>
  <si>
    <t>var_23</t>
  </si>
  <si>
    <t>cast(var_23 as string)</t>
  </si>
  <si>
    <t>var_24</t>
  </si>
  <si>
    <t>cast(var_24 as string)</t>
  </si>
  <si>
    <t>var_25</t>
  </si>
  <si>
    <t>cast(var_25 as string)</t>
  </si>
  <si>
    <t>CEP_3_digitos</t>
  </si>
  <si>
    <t>try_cast(CEP_3_digitos as int)</t>
  </si>
  <si>
    <t>Converte o campo SAFRA para inteiro com tratamento de erros retorna null</t>
  </si>
  <si>
    <t>cast(FLAG_INSTALACAO as int)</t>
  </si>
  <si>
    <t>cast(FPD as int)</t>
  </si>
  <si>
    <t>SCORE_01</t>
  </si>
  <si>
    <t>cast(SCORE_01 as int)</t>
  </si>
  <si>
    <t>SCORE_02</t>
  </si>
  <si>
    <t>cast(SCORE_02 as int)</t>
  </si>
  <si>
    <t xml:space="preserve">Converte o campo NUM_CPF para string </t>
  </si>
  <si>
    <t xml:space="preserve">Converte o campo SAFRA para inteiro </t>
  </si>
  <si>
    <t xml:space="preserve">Converte para inteiro </t>
  </si>
  <si>
    <t xml:space="preserve">Converte para string </t>
  </si>
  <si>
    <t xml:space="preserve">Converte o score 01 para inteiro </t>
  </si>
  <si>
    <t xml:space="preserve">Converte o score 02 para inteiro </t>
  </si>
  <si>
    <t>DAT_REFERENCIA</t>
  </si>
  <si>
    <t>case when trim(DAT_REFERENCIA) in ('null', 'NULL', '', '-3', '-2', '-1') then null else try_cast(to_timestamp(trim(DAT_REFERENCIA), 'ddMMMyyyy:HH:mm:ss') as TIMESTAMP) end</t>
  </si>
  <si>
    <t>Trata valores inválidos incluindo códigos negativos como NULL, converte para timestamp</t>
  </si>
  <si>
    <t>NUM_FATURA_HASH</t>
  </si>
  <si>
    <t>try_cast(NUM_FATURA_HASH as STRING)</t>
  </si>
  <si>
    <t>NUM_ENT_SEQ_FATURA</t>
  </si>
  <si>
    <t>try_cast(NUM_ENT_SEQ_FATURA as INT)</t>
  </si>
  <si>
    <t>DW_HIS_PONTO_VENDA_COMTA</t>
  </si>
  <si>
    <t>try_cast(DW_HIS_PONTO_VENDA_COMTA as BIGINT)</t>
  </si>
  <si>
    <t>DW_CICLO</t>
  </si>
  <si>
    <t>try_cast(DW_CICLO as INT)</t>
  </si>
  <si>
    <t>DW_TIPO_CLIENTE_CONTA</t>
  </si>
  <si>
    <t>try_cast(DW_TIPO_CLIENTE_CONTA as INT)</t>
  </si>
  <si>
    <t>DW_OFERTA</t>
  </si>
  <si>
    <t>try_cast(DW_OFERTA as INT)</t>
  </si>
  <si>
    <t>DW_FAIXA_AGING_FATURA</t>
  </si>
  <si>
    <t>try_cast(DW_FAIXA_AGING_FATURA as INT)</t>
  </si>
  <si>
    <t>DW_FAIXA_AGING_DIVIDA</t>
  </si>
  <si>
    <t>try_cast(DW_FAIXA_AGING_DIVIDA as INT)</t>
  </si>
  <si>
    <t>DW_FAIXA_TEMPO_BASE</t>
  </si>
  <si>
    <t>try_cast(DW_FAIXA_TEMPO_BASE as INT)</t>
  </si>
  <si>
    <t>DW_FAIXA_AGING_PROX_FECH</t>
  </si>
  <si>
    <t>try_cast(DW_FAIXA_AGING_PROX_FECH as INT)</t>
  </si>
  <si>
    <t>DW_TIPO_FATURAMENTO</t>
  </si>
  <si>
    <t>try_cast(DW_TIPO_FATURAMENTO as INT)</t>
  </si>
  <si>
    <t>COD_PLATAFORMA</t>
  </si>
  <si>
    <t>try_cast(COD_PLATAFORMA as STRING)</t>
  </si>
  <si>
    <t>DAT_CRIACAO_REGISTRO_TRANS</t>
  </si>
  <si>
    <t>case when trim(DAT_CRIACAO_REGISTRO_TRANS) in ('null', 'NULL', '', '-3', '-2', '-1') then null else try_cast(to_timestamp(trim(DAT_CRIACAO_REGISTRO_TRANS), 'ddMMMyyyy:HH:mm:ss') as TIMESTAMP) end</t>
  </si>
  <si>
    <t>DAT_ALTERACAO_REGISTRO_TRANS</t>
  </si>
  <si>
    <t>case when trim(DAT_ALTERACAO_REGISTRO_TRANS) in ('null', 'NULL', '', '-3', '-2', '-1') then null else try_cast(to_timestamp(trim(DAT_ALTERACAO_REGISTRO_TRANS), 'ddMMMyyyy:HH:mm:ss') as TIMESTAMP) end</t>
  </si>
  <si>
    <t>DAT_CANCELAMENTO_FAT</t>
  </si>
  <si>
    <t>case when trim(DAT_CANCELAMENTO_FAT) in ('null', 'NULL', '', '-3', '-2', '-1') then null else try_cast(to_timestamp(trim(DAT_CANCELAMENTO_FAT), 'ddMMMyyyy:HH:mm:ss') as TIMESTAMP) end</t>
  </si>
  <si>
    <t>DAT_ORIGINAL_VCTO_FAT</t>
  </si>
  <si>
    <t>case when trim(DAT_ORIGINAL_VCTO_FAT) in ('null', 'NULL', '', '-3', '-2', '-1') then null else try_cast(to_timestamp(trim(DAT_ORIGINAL_VCTO_FAT), 'ddMMMyyyy:HH:mm:ss') as TIMESTAMP) end</t>
  </si>
  <si>
    <t>DAT_ALTERACAO_VCTO_FAT</t>
  </si>
  <si>
    <t>case when trim(DAT_ALTERACAO_VCTO_FAT) in ('null', 'NULL', '', '-3', '-2', '-1') then null else try_cast(to_timestamp(trim(DAT_ALTERACAO_VCTO_FAT), 'ddMMMyyyy:HH:mm:ss') as TIMESTAMP) end</t>
  </si>
  <si>
    <t>DAT_CRIACAO_FAT</t>
  </si>
  <si>
    <t>case when trim(DAT_CRIACAO_FAT) in ('null', 'NULL', '', '-3', '-2', '-1') then null else try_cast(to_timestamp(trim(DAT_CRIACAO_FAT), 'ddMMMyyyy:HH:mm:ss') as TIMESTAMP) end</t>
  </si>
  <si>
    <t>DAT_VENCIMENTO_FAT</t>
  </si>
  <si>
    <t>case when trim(DAT_VENCIMENTO_FAT) in ('null', 'NULL', '', '-3', '-2', '-1') then null else try_cast(to_timestamp(trim(DAT_VENCIMENTO_FAT), 'ddMMMyyyy:HH:mm:ss') as TIMESTAMP) end</t>
  </si>
  <si>
    <t>DAT_STATUS_FAT</t>
  </si>
  <si>
    <t>case when trim(DAT_STATUS_FAT) in ('null', 'NULL', '', '-3', '-2', '-1') then null else try_cast(to_timestamp(trim(DAT_STATUS_FAT), 'ddMMMyyyy:HH:mm:ss') as TIMESTAMP) end</t>
  </si>
  <si>
    <t>DAT_MIN_VENCIMENTO_FAT</t>
  </si>
  <si>
    <t>case when trim(DAT_MIN_VENCIMENTO_FAT) in ('null', 'NULL', '', '-3', '-2', '-1') then null else try_cast(to_timestamp(trim(DAT_MIN_VENCIMENTO_FAT), 'ddMMMyyyy:HH:mm:ss') as TIMESTAMP) end</t>
  </si>
  <si>
    <t>NUM_BILL_SEQ_FAT</t>
  </si>
  <si>
    <t>try_cast(NUM_BILL_SEQ_FAT as INT)</t>
  </si>
  <si>
    <t>NUM_SEQ_ACORDO_FAT</t>
  </si>
  <si>
    <t>try_cast(NUM_SEQ_ACORDO_FAT as INT)</t>
  </si>
  <si>
    <t>IND_ISENCAO_COB_FAT</t>
  </si>
  <si>
    <t>try_cast(IND_ISENCAO_COB_FAT as INT)</t>
  </si>
  <si>
    <t>IND_WO</t>
  </si>
  <si>
    <t>try_cast(IND_WO as STRING)</t>
  </si>
  <si>
    <t>IND_PDD</t>
  </si>
  <si>
    <t>try_cast(IND_PDD as STRING)</t>
  </si>
  <si>
    <t>IND_PCCR</t>
  </si>
  <si>
    <t>try_cast(IND_PCCR as STRING)</t>
  </si>
  <si>
    <t>IND_ACA</t>
  </si>
  <si>
    <t>try_cast(IND_ACA as STRING)</t>
  </si>
  <si>
    <t>IND_PRIMEIRA_FAT</t>
  </si>
  <si>
    <t>try_cast(IND_PRIMEIRA_FAT as STRING)</t>
  </si>
  <si>
    <t>IND_FRAUDE</t>
  </si>
  <si>
    <t>try_cast(IND_FRAUDE as STRING)</t>
  </si>
  <si>
    <t>VAL_FAT_LIQUIDO</t>
  </si>
  <si>
    <t>try_cast(VAL_FAT_LIQUIDO as DECIMAL(10,2))</t>
  </si>
  <si>
    <t>VAL_FAT_BRUTO</t>
  </si>
  <si>
    <t>try_cast(VAL_FAT_BRUTO as DECIMAL(10,2))</t>
  </si>
  <si>
    <t>VAL_FAT_CREDITO</t>
  </si>
  <si>
    <t>try_cast(VAL_FAT_CREDITO as DECIMAL(10,2))</t>
  </si>
  <si>
    <t>VAL_FAT_AJUSTE</t>
  </si>
  <si>
    <t>try_cast(VAL_FAT_AJUSTE as DECIMAL(10,2))</t>
  </si>
  <si>
    <t>VAL_FAT_BRUTO_BC</t>
  </si>
  <si>
    <t>try_cast(VAL_FAT_BRUTO_BC as DECIMAL(10,2))</t>
  </si>
  <si>
    <t>VAL_FAT_PAGAMENTO_BRUTO</t>
  </si>
  <si>
    <t>try_cast(VAL_FAT_PAGAMENTO_BRUTO as DECIMAL(10,2))</t>
  </si>
  <si>
    <t>VAL_FAT_ABERTO</t>
  </si>
  <si>
    <t>try_cast(VAL_FAT_ABERTO as DECIMAL(10,2))</t>
  </si>
  <si>
    <t>VAL_FAT_ABERTO_LIQ</t>
  </si>
  <si>
    <t>try_cast(VAL_FAT_ABERTO_LIQ as DECIMAL(10,2))</t>
  </si>
  <si>
    <t>VAL_MULTA_JUROS</t>
  </si>
  <si>
    <t>try_cast(VAL_MULTA_JUROS as DECIMAL(10,2))</t>
  </si>
  <si>
    <t>VAL_MULTA_CANCELAMENTO</t>
  </si>
  <si>
    <t>try_cast(VAL_MULTA_CANCELAMENTO as DECIMAL(10,2))</t>
  </si>
  <si>
    <t>VAL_PARC_APARELHO_LIQ</t>
  </si>
  <si>
    <t>try_cast(VAL_PARC_APARELHO_LIQ as DECIMAL(10,2))</t>
  </si>
  <si>
    <t>VAL_FAT_LIQ_JM_MC</t>
  </si>
  <si>
    <t>try_cast(VAL_FAT_LIQ_JM_MC as DECIMAL(10,2))</t>
  </si>
  <si>
    <t>DAT_ATIVACAO_CONTA_CLI</t>
  </si>
  <si>
    <t>case when trim(DAT_ATIVACAO_CONTA_CLI) in ('null', 'NULL', '', '-3', '-2', '-1') then null else try_cast(to_timestamp(trim(DAT_ATIVACAO_CONTA_CLI), 'ddMMMyyyy:HH:mm:ss') as TIMESTAMP) end</t>
  </si>
  <si>
    <t>case when trim(DAT_CRIACAO_DW) in ('null', 'NULL', '', '-3', '-2', '-1') then null else try_cast(to_timestamp(trim(DAT_CRIACAO_DW), 'ddMMMyyyy:HH:mm:ss') as TIMESTAMP) end</t>
  </si>
  <si>
    <t>Converte o campo SAFRA para inteiro, com tratamento de erros retorna null</t>
  </si>
  <si>
    <t>Converte para tipo BIGINT (inteiro de 64 bits) com tratamento de erros retorna null</t>
  </si>
  <si>
    <t>Converte para inteiro padrão (32 bits) com tratamento de erros retorna null</t>
  </si>
  <si>
    <t>Converte para BIGINT com tratamento de erros retorna null</t>
  </si>
  <si>
    <t>DW_NUM_NTC</t>
  </si>
  <si>
    <t>try_cast(DW_NUM_NTC as BIGINT)</t>
  </si>
  <si>
    <t>DAT_INSERCAO_CREDITO</t>
  </si>
  <si>
    <t>case when trim(DAT_INSERCAO_CREDITO) in ('null', 'NULL', '', '-3', '-2', '-1') then null else try_cast(to_timestamp(trim(DAT_INSERCAO_CREDITO), 'ddMMMyyyy:HH:mm:ss') as TIMESTAMP) end</t>
  </si>
  <si>
    <t>HOR_INSERCAO_CREDITO</t>
  </si>
  <si>
    <t>COD_TECNOLOGIA_DW</t>
  </si>
  <si>
    <t>try_cast(COD_TECNOLOGIA_DW as STRING)</t>
  </si>
  <si>
    <t>COD_CANAL_AQUISICAO</t>
  </si>
  <si>
    <t>try_cast(COD_CANAL_AQUISICAO as INT)</t>
  </si>
  <si>
    <t>COD_TIPO_CREDITO</t>
  </si>
  <si>
    <t>try_cast(COD_TIPO_CREDITO as STRING)</t>
  </si>
  <si>
    <t>COD_PROMOCAO</t>
  </si>
  <si>
    <t>try_cast(COD_PROMOCAO as INT)</t>
  </si>
  <si>
    <t>VAL_CREDITO_INSERIDO</t>
  </si>
  <si>
    <t>try_cast(VAL_CREDITO_INSERIDO as DECIMAL(10,2))</t>
  </si>
  <si>
    <t>VAL_BONUS</t>
  </si>
  <si>
    <t>try_cast(VAL_BONUS as DECIMAL(10,2))</t>
  </si>
  <si>
    <t>VAL_REAL</t>
  </si>
  <si>
    <t>try_cast(VAL_REAL as DECIMAL(10,2))</t>
  </si>
  <si>
    <t>COD_PLATAFORMA_ATU</t>
  </si>
  <si>
    <t>try_cast(COD_PLATAFORMA_ATU as STRING)</t>
  </si>
  <si>
    <t>COD_STATUS_PLATAFORMA</t>
  </si>
  <si>
    <t>try_cast(COD_STATUS_PLATAFORMA as STRING)</t>
  </si>
  <si>
    <t>IND_METODO_PAGAMENTO</t>
  </si>
  <si>
    <t>try_cast(IND_METODO_PAGAMENTO as STRING)</t>
  </si>
  <si>
    <t>DW_PLANO_TARIFACAO</t>
  </si>
  <si>
    <t>try_cast(DW_PLANO_TARIFACAO as INT)</t>
  </si>
  <si>
    <t>DW_TIPO_RECARGA</t>
  </si>
  <si>
    <t>try_cast(DW_TIPO_RECARGA as INT)</t>
  </si>
  <si>
    <t>DW_TIPO_INSERCAO</t>
  </si>
  <si>
    <t>try_cast(DW_TIPO_INSERCAO as INT)</t>
  </si>
  <si>
    <t>DW_INSTITUICAO</t>
  </si>
  <si>
    <t>try_cast(DW_INSTITUICAO as INT)</t>
  </si>
  <si>
    <t>COD_GRUPO_CARTAO</t>
  </si>
  <si>
    <t>try_cast(COD_GRUPO_CARTAO as STRING)</t>
  </si>
  <si>
    <t>DSC_GRUPO_CARTAO_WPP</t>
  </si>
  <si>
    <t>try_cast(DSC_GRUPO_CARTAO_WPP as STRING)</t>
  </si>
  <si>
    <t>FLAG_SOS</t>
  </si>
  <si>
    <t>try_cast(FLAG_SOS as INT)</t>
  </si>
  <si>
    <t>VALOR_SOS</t>
  </si>
  <si>
    <t>try_cast(VALOR_SOS as DECIMAL(10,2))</t>
  </si>
  <si>
    <t>case when trim(HOR_INSERCAO_CREDITO) in ('null', 'NULL', '', '-3', '-2', '-1') then null else cast(substr(lpad(trim(HOR_INSERCAO_CREDITO), 6, '0'), 1, 2) as int) * 3600 + cast(substr(lpad(trim(HOR_INSERCAO_CREDITO), 6, '0'), 3, 2) as int) * 60 + cast(substr(lpad(trim(HOR_INSERCAO_CREDITO), 6, '0'), 5, 2) as int) end</t>
  </si>
  <si>
    <t>Converte hora no formato HHmmss para segundos totais</t>
  </si>
  <si>
    <t>total_linhas_T1</t>
  </si>
  <si>
    <t>total_linhas_T2</t>
  </si>
  <si>
    <t>cpf_distintos_T1</t>
  </si>
  <si>
    <t>cpf_distintos_T2</t>
  </si>
  <si>
    <t>num_tel_distintos_T1</t>
  </si>
  <si>
    <t>num_tel_distintos_T2</t>
  </si>
  <si>
    <t>LINHAS</t>
  </si>
  <si>
    <t>CPFS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</si>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</sst>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C2FA-C0B1-4591-A48E-F8537E868829}">
  <dimension ref="A1:C76"/>
  <sheetViews>
    <sheetView zoomScaleNormal="100" workbookViewId="0">
      <selection activeCell="C7" sqref="C7"/>
    </sheetView>
  </sheetViews>
  <sheetFormatPr defaultRowHeight="14.4"/>
  <cols>
    <col min="1" max="1" width="32.21875" style="6" bestFit="1" customWidth="1"/>
    <col min="2" max="2" width="38.77734375" style="6" customWidth="1"/>
    <col min="3" max="3" width="104.77734375" style="6" bestFit="1" customWidth="1"/>
    <col min="4" max="16384" width="8.88671875" style="6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4</v>
      </c>
      <c r="C2" s="8" t="s">
        <v>5</v>
      </c>
    </row>
    <row r="3" spans="1:3">
      <c r="A3" s="5" t="s">
        <v>6</v>
      </c>
      <c r="B3" s="7" t="s">
        <v>7</v>
      </c>
      <c r="C3" s="8" t="s">
        <v>475</v>
      </c>
    </row>
    <row r="4" spans="1:3">
      <c r="A4" s="5" t="s">
        <v>8</v>
      </c>
      <c r="B4" s="7" t="s">
        <v>9</v>
      </c>
      <c r="C4" s="8" t="s">
        <v>10</v>
      </c>
    </row>
    <row r="5" spans="1:3">
      <c r="A5" s="5" t="s">
        <v>11</v>
      </c>
      <c r="B5" s="7" t="s">
        <v>12</v>
      </c>
      <c r="C5" s="8" t="s">
        <v>476</v>
      </c>
    </row>
    <row r="6" spans="1:3">
      <c r="A6" s="5" t="s">
        <v>13</v>
      </c>
      <c r="B6" s="7" t="s">
        <v>14</v>
      </c>
      <c r="C6" s="8" t="s">
        <v>477</v>
      </c>
    </row>
    <row r="7" spans="1:3">
      <c r="A7" s="5" t="s">
        <v>15</v>
      </c>
      <c r="B7" s="7" t="s">
        <v>16</v>
      </c>
      <c r="C7" s="8" t="s">
        <v>159</v>
      </c>
    </row>
    <row r="8" spans="1:3">
      <c r="A8" s="5" t="s">
        <v>17</v>
      </c>
      <c r="B8" s="7" t="s">
        <v>18</v>
      </c>
      <c r="C8" s="8" t="s">
        <v>159</v>
      </c>
    </row>
    <row r="9" spans="1:3">
      <c r="A9" s="5" t="s">
        <v>19</v>
      </c>
      <c r="B9" s="7" t="s">
        <v>20</v>
      </c>
      <c r="C9" s="8" t="s">
        <v>159</v>
      </c>
    </row>
    <row r="10" spans="1:3">
      <c r="A10" s="5" t="s">
        <v>21</v>
      </c>
      <c r="B10" s="7" t="s">
        <v>22</v>
      </c>
      <c r="C10" s="8" t="s">
        <v>160</v>
      </c>
    </row>
    <row r="11" spans="1:3">
      <c r="A11" s="5" t="s">
        <v>23</v>
      </c>
      <c r="B11" s="7" t="s">
        <v>24</v>
      </c>
      <c r="C11" s="8" t="s">
        <v>478</v>
      </c>
    </row>
    <row r="12" spans="1:3">
      <c r="A12" s="5" t="s">
        <v>25</v>
      </c>
      <c r="B12" s="7" t="s">
        <v>26</v>
      </c>
      <c r="C12" s="8" t="s">
        <v>159</v>
      </c>
    </row>
    <row r="13" spans="1:3">
      <c r="A13" s="5" t="s">
        <v>27</v>
      </c>
      <c r="B13" s="7" t="s">
        <v>28</v>
      </c>
      <c r="C13" s="8" t="s">
        <v>159</v>
      </c>
    </row>
    <row r="14" spans="1:3">
      <c r="A14" s="5" t="s">
        <v>29</v>
      </c>
      <c r="B14" s="7" t="s">
        <v>30</v>
      </c>
      <c r="C14" s="8" t="s">
        <v>159</v>
      </c>
    </row>
    <row r="15" spans="1:3">
      <c r="A15" s="5" t="s">
        <v>31</v>
      </c>
      <c r="B15" s="7" t="s">
        <v>32</v>
      </c>
      <c r="C15" s="8" t="s">
        <v>33</v>
      </c>
    </row>
    <row r="16" spans="1:3">
      <c r="A16" s="5" t="s">
        <v>34</v>
      </c>
      <c r="B16" s="7" t="s">
        <v>35</v>
      </c>
      <c r="C16" s="8" t="s">
        <v>36</v>
      </c>
    </row>
    <row r="17" spans="1:3">
      <c r="A17" s="5" t="s">
        <v>37</v>
      </c>
      <c r="B17" s="7" t="s">
        <v>38</v>
      </c>
      <c r="C17" s="8" t="s">
        <v>159</v>
      </c>
    </row>
    <row r="18" spans="1:3">
      <c r="A18" s="5" t="s">
        <v>39</v>
      </c>
      <c r="B18" s="7" t="s">
        <v>40</v>
      </c>
      <c r="C18" s="8" t="s">
        <v>159</v>
      </c>
    </row>
    <row r="19" spans="1:3">
      <c r="A19" s="5" t="s">
        <v>41</v>
      </c>
      <c r="B19" s="7" t="s">
        <v>42</v>
      </c>
      <c r="C19" s="8" t="s">
        <v>160</v>
      </c>
    </row>
    <row r="20" spans="1:3">
      <c r="A20" s="5" t="s">
        <v>43</v>
      </c>
      <c r="B20" s="7" t="s">
        <v>44</v>
      </c>
      <c r="C20" s="8" t="s">
        <v>160</v>
      </c>
    </row>
    <row r="21" spans="1:3">
      <c r="A21" s="5" t="s">
        <v>45</v>
      </c>
      <c r="B21" s="7" t="s">
        <v>46</v>
      </c>
      <c r="C21" s="8" t="s">
        <v>160</v>
      </c>
    </row>
    <row r="22" spans="1:3">
      <c r="A22" s="5" t="s">
        <v>47</v>
      </c>
      <c r="B22" s="7" t="s">
        <v>48</v>
      </c>
      <c r="C22" s="8" t="s">
        <v>159</v>
      </c>
    </row>
    <row r="23" spans="1:3">
      <c r="A23" s="5" t="s">
        <v>49</v>
      </c>
      <c r="B23" s="7" t="s">
        <v>50</v>
      </c>
      <c r="C23" s="8" t="s">
        <v>161</v>
      </c>
    </row>
    <row r="24" spans="1:3">
      <c r="A24" s="5" t="s">
        <v>51</v>
      </c>
      <c r="B24" s="7" t="s">
        <v>52</v>
      </c>
      <c r="C24" s="8" t="s">
        <v>161</v>
      </c>
    </row>
    <row r="25" spans="1:3">
      <c r="A25" s="5" t="s">
        <v>53</v>
      </c>
      <c r="B25" s="7" t="s">
        <v>54</v>
      </c>
      <c r="C25" s="8" t="s">
        <v>161</v>
      </c>
    </row>
    <row r="26" spans="1:3">
      <c r="A26" s="5" t="s">
        <v>55</v>
      </c>
      <c r="B26" s="7" t="s">
        <v>56</v>
      </c>
      <c r="C26" s="8" t="s">
        <v>161</v>
      </c>
    </row>
    <row r="27" spans="1:3">
      <c r="A27" s="5" t="s">
        <v>57</v>
      </c>
      <c r="B27" s="7" t="s">
        <v>58</v>
      </c>
      <c r="C27" s="8" t="s">
        <v>161</v>
      </c>
    </row>
    <row r="28" spans="1:3">
      <c r="A28" s="5" t="s">
        <v>59</v>
      </c>
      <c r="B28" s="7" t="s">
        <v>60</v>
      </c>
      <c r="C28" s="8" t="s">
        <v>161</v>
      </c>
    </row>
    <row r="29" spans="1:3">
      <c r="A29" s="5" t="s">
        <v>61</v>
      </c>
      <c r="B29" s="7" t="s">
        <v>62</v>
      </c>
      <c r="C29" s="8" t="s">
        <v>160</v>
      </c>
    </row>
    <row r="30" spans="1:3">
      <c r="A30" s="5" t="s">
        <v>63</v>
      </c>
      <c r="B30" s="7" t="s">
        <v>64</v>
      </c>
      <c r="C30" s="8" t="s">
        <v>160</v>
      </c>
    </row>
    <row r="31" spans="1:3">
      <c r="A31" s="5" t="s">
        <v>65</v>
      </c>
      <c r="B31" s="7" t="s">
        <v>66</v>
      </c>
      <c r="C31" s="8" t="s">
        <v>159</v>
      </c>
    </row>
    <row r="32" spans="1:3">
      <c r="A32" s="5" t="s">
        <v>67</v>
      </c>
      <c r="B32" s="7" t="s">
        <v>68</v>
      </c>
      <c r="C32" s="8" t="s">
        <v>69</v>
      </c>
    </row>
    <row r="33" spans="1:3">
      <c r="A33" s="5" t="s">
        <v>70</v>
      </c>
      <c r="B33" s="7" t="s">
        <v>71</v>
      </c>
      <c r="C33" s="8" t="s">
        <v>69</v>
      </c>
    </row>
    <row r="34" spans="1:3">
      <c r="A34" s="5" t="s">
        <v>72</v>
      </c>
      <c r="B34" s="7" t="s">
        <v>73</v>
      </c>
      <c r="C34" s="8" t="s">
        <v>160</v>
      </c>
    </row>
    <row r="35" spans="1:3">
      <c r="A35" s="5" t="s">
        <v>74</v>
      </c>
      <c r="B35" s="7" t="s">
        <v>75</v>
      </c>
      <c r="C35" s="8" t="s">
        <v>160</v>
      </c>
    </row>
    <row r="36" spans="1:3">
      <c r="A36" s="5" t="s">
        <v>76</v>
      </c>
      <c r="B36" s="7" t="s">
        <v>77</v>
      </c>
      <c r="C36" s="8" t="s">
        <v>160</v>
      </c>
    </row>
    <row r="37" spans="1:3">
      <c r="A37" s="5" t="s">
        <v>78</v>
      </c>
      <c r="B37" s="7" t="s">
        <v>79</v>
      </c>
      <c r="C37" s="8" t="s">
        <v>69</v>
      </c>
    </row>
    <row r="38" spans="1:3">
      <c r="A38" s="5" t="s">
        <v>80</v>
      </c>
      <c r="B38" s="7" t="s">
        <v>81</v>
      </c>
      <c r="C38" s="8" t="s">
        <v>161</v>
      </c>
    </row>
    <row r="39" spans="1:3">
      <c r="A39" s="5" t="s">
        <v>82</v>
      </c>
      <c r="B39" s="7" t="s">
        <v>83</v>
      </c>
      <c r="C39" s="8" t="s">
        <v>69</v>
      </c>
    </row>
    <row r="40" spans="1:3">
      <c r="A40" s="5" t="s">
        <v>84</v>
      </c>
      <c r="B40" s="7" t="s">
        <v>85</v>
      </c>
      <c r="C40" s="8" t="s">
        <v>160</v>
      </c>
    </row>
    <row r="41" spans="1:3">
      <c r="A41" s="5" t="s">
        <v>86</v>
      </c>
      <c r="B41" s="7" t="s">
        <v>87</v>
      </c>
      <c r="C41" s="8" t="s">
        <v>160</v>
      </c>
    </row>
    <row r="42" spans="1:3">
      <c r="A42" s="5" t="s">
        <v>88</v>
      </c>
      <c r="B42" s="7" t="s">
        <v>89</v>
      </c>
      <c r="C42" s="8" t="s">
        <v>160</v>
      </c>
    </row>
    <row r="43" spans="1:3">
      <c r="A43" s="5" t="s">
        <v>90</v>
      </c>
      <c r="B43" s="7" t="s">
        <v>91</v>
      </c>
      <c r="C43" s="8" t="s">
        <v>160</v>
      </c>
    </row>
    <row r="44" spans="1:3">
      <c r="A44" s="5" t="s">
        <v>92</v>
      </c>
      <c r="B44" s="7" t="s">
        <v>93</v>
      </c>
      <c r="C44" s="8" t="s">
        <v>159</v>
      </c>
    </row>
    <row r="45" spans="1:3">
      <c r="A45" s="5" t="s">
        <v>94</v>
      </c>
      <c r="B45" s="7" t="s">
        <v>95</v>
      </c>
      <c r="C45" s="8" t="s">
        <v>69</v>
      </c>
    </row>
    <row r="46" spans="1:3">
      <c r="A46" s="5" t="s">
        <v>96</v>
      </c>
      <c r="B46" s="7" t="s">
        <v>97</v>
      </c>
      <c r="C46" s="8" t="s">
        <v>69</v>
      </c>
    </row>
    <row r="47" spans="1:3">
      <c r="A47" s="5" t="s">
        <v>98</v>
      </c>
      <c r="B47" s="7" t="s">
        <v>99</v>
      </c>
      <c r="C47" s="8" t="s">
        <v>160</v>
      </c>
    </row>
    <row r="48" spans="1:3">
      <c r="A48" s="5" t="s">
        <v>100</v>
      </c>
      <c r="B48" s="7" t="s">
        <v>101</v>
      </c>
      <c r="C48" s="8" t="s">
        <v>160</v>
      </c>
    </row>
    <row r="49" spans="1:3">
      <c r="A49" s="5" t="s">
        <v>102</v>
      </c>
      <c r="B49" s="7" t="s">
        <v>103</v>
      </c>
      <c r="C49" s="8" t="s">
        <v>161</v>
      </c>
    </row>
    <row r="50" spans="1:3">
      <c r="A50" s="5" t="s">
        <v>104</v>
      </c>
      <c r="B50" s="7" t="s">
        <v>105</v>
      </c>
      <c r="C50" s="8" t="s">
        <v>160</v>
      </c>
    </row>
    <row r="51" spans="1:3">
      <c r="A51" s="5" t="s">
        <v>106</v>
      </c>
      <c r="B51" s="7" t="s">
        <v>107</v>
      </c>
      <c r="C51" s="8" t="s">
        <v>160</v>
      </c>
    </row>
    <row r="52" spans="1:3">
      <c r="A52" s="5" t="s">
        <v>108</v>
      </c>
      <c r="B52" s="7" t="s">
        <v>109</v>
      </c>
      <c r="C52" s="8" t="s">
        <v>160</v>
      </c>
    </row>
    <row r="53" spans="1:3">
      <c r="A53" s="5" t="s">
        <v>110</v>
      </c>
      <c r="B53" s="7" t="s">
        <v>111</v>
      </c>
      <c r="C53" s="8" t="s">
        <v>159</v>
      </c>
    </row>
    <row r="54" spans="1:3">
      <c r="A54" s="5" t="s">
        <v>112</v>
      </c>
      <c r="B54" s="7" t="s">
        <v>113</v>
      </c>
      <c r="C54" s="8" t="s">
        <v>160</v>
      </c>
    </row>
    <row r="55" spans="1:3">
      <c r="A55" s="5" t="s">
        <v>114</v>
      </c>
      <c r="B55" s="7" t="s">
        <v>115</v>
      </c>
      <c r="C55" s="8" t="s">
        <v>160</v>
      </c>
    </row>
    <row r="56" spans="1:3">
      <c r="A56" s="5" t="s">
        <v>116</v>
      </c>
      <c r="B56" s="7" t="s">
        <v>117</v>
      </c>
      <c r="C56" s="8" t="s">
        <v>160</v>
      </c>
    </row>
    <row r="57" spans="1:3">
      <c r="A57" s="5" t="s">
        <v>118</v>
      </c>
      <c r="B57" s="7" t="s">
        <v>119</v>
      </c>
      <c r="C57" s="8" t="s">
        <v>161</v>
      </c>
    </row>
    <row r="58" spans="1:3">
      <c r="A58" s="5" t="s">
        <v>120</v>
      </c>
      <c r="B58" s="7" t="s">
        <v>121</v>
      </c>
      <c r="C58" s="8" t="s">
        <v>159</v>
      </c>
    </row>
    <row r="59" spans="1:3">
      <c r="A59" s="5" t="s">
        <v>122</v>
      </c>
      <c r="B59" s="7" t="s">
        <v>123</v>
      </c>
      <c r="C59" s="8" t="s">
        <v>160</v>
      </c>
    </row>
    <row r="60" spans="1:3">
      <c r="A60" s="5" t="s">
        <v>124</v>
      </c>
      <c r="B60" s="7" t="s">
        <v>125</v>
      </c>
      <c r="C60" s="8" t="s">
        <v>69</v>
      </c>
    </row>
    <row r="61" spans="1:3">
      <c r="A61" s="5" t="s">
        <v>126</v>
      </c>
      <c r="B61" s="7" t="s">
        <v>127</v>
      </c>
      <c r="C61" s="8" t="s">
        <v>160</v>
      </c>
    </row>
    <row r="62" spans="1:3">
      <c r="A62" s="5" t="s">
        <v>128</v>
      </c>
      <c r="B62" s="7" t="s">
        <v>129</v>
      </c>
      <c r="C62" s="8" t="s">
        <v>160</v>
      </c>
    </row>
    <row r="63" spans="1:3">
      <c r="A63" s="5" t="s">
        <v>130</v>
      </c>
      <c r="B63" s="7" t="s">
        <v>131</v>
      </c>
      <c r="C63" s="8" t="s">
        <v>69</v>
      </c>
    </row>
    <row r="64" spans="1:3">
      <c r="A64" s="5" t="s">
        <v>132</v>
      </c>
      <c r="B64" s="7" t="s">
        <v>133</v>
      </c>
      <c r="C64" s="8" t="s">
        <v>69</v>
      </c>
    </row>
    <row r="65" spans="1:3">
      <c r="A65" s="5" t="s">
        <v>134</v>
      </c>
      <c r="B65" s="7" t="s">
        <v>135</v>
      </c>
      <c r="C65" s="8" t="s">
        <v>160</v>
      </c>
    </row>
    <row r="66" spans="1:3">
      <c r="A66" s="5" t="s">
        <v>136</v>
      </c>
      <c r="B66" s="7" t="s">
        <v>137</v>
      </c>
      <c r="C66" s="8" t="s">
        <v>161</v>
      </c>
    </row>
    <row r="67" spans="1:3">
      <c r="A67" s="5" t="s">
        <v>138</v>
      </c>
      <c r="B67" s="7" t="s">
        <v>139</v>
      </c>
      <c r="C67" s="8" t="s">
        <v>160</v>
      </c>
    </row>
    <row r="68" spans="1:3">
      <c r="A68" s="5" t="s">
        <v>140</v>
      </c>
      <c r="B68" s="7" t="s">
        <v>141</v>
      </c>
      <c r="C68" s="8" t="s">
        <v>159</v>
      </c>
    </row>
    <row r="69" spans="1:3">
      <c r="A69" s="5" t="s">
        <v>142</v>
      </c>
      <c r="B69" s="7" t="s">
        <v>143</v>
      </c>
      <c r="C69" s="8" t="s">
        <v>159</v>
      </c>
    </row>
    <row r="70" spans="1:3">
      <c r="A70" s="5" t="s">
        <v>144</v>
      </c>
      <c r="B70" s="7" t="s">
        <v>145</v>
      </c>
      <c r="C70" s="8" t="s">
        <v>160</v>
      </c>
    </row>
    <row r="71" spans="1:3">
      <c r="A71" s="5" t="s">
        <v>146</v>
      </c>
      <c r="B71" s="7" t="s">
        <v>147</v>
      </c>
      <c r="C71" s="8" t="s">
        <v>160</v>
      </c>
    </row>
    <row r="72" spans="1:3">
      <c r="A72" s="5" t="s">
        <v>148</v>
      </c>
      <c r="B72" s="7" t="s">
        <v>149</v>
      </c>
      <c r="C72" s="8" t="s">
        <v>159</v>
      </c>
    </row>
    <row r="73" spans="1:3">
      <c r="A73" s="5" t="s">
        <v>150</v>
      </c>
      <c r="B73" s="7" t="s">
        <v>151</v>
      </c>
      <c r="C73" s="8" t="s">
        <v>160</v>
      </c>
    </row>
    <row r="74" spans="1:3">
      <c r="A74" s="5" t="s">
        <v>152</v>
      </c>
      <c r="B74" s="7" t="s">
        <v>153</v>
      </c>
      <c r="C74" s="8" t="s">
        <v>69</v>
      </c>
    </row>
    <row r="75" spans="1:3">
      <c r="A75" s="5" t="s">
        <v>154</v>
      </c>
      <c r="B75" s="7" t="s">
        <v>155</v>
      </c>
      <c r="C75" s="8" t="s">
        <v>69</v>
      </c>
    </row>
    <row r="76" spans="1:3">
      <c r="A76" s="5" t="s">
        <v>156</v>
      </c>
      <c r="B76" s="7" t="s">
        <v>157</v>
      </c>
      <c r="C76" s="8" t="s">
        <v>158</v>
      </c>
    </row>
  </sheetData>
  <autoFilter ref="A1:C76" xr:uid="{39B6C2FA-C0B1-4591-A48E-F8537E868829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E053-DC55-4BE7-8473-3E0C838AAC08}">
  <dimension ref="A1:C53"/>
  <sheetViews>
    <sheetView workbookViewId="0">
      <selection activeCell="B9" sqref="B9"/>
    </sheetView>
  </sheetViews>
  <sheetFormatPr defaultRowHeight="14.4"/>
  <cols>
    <col min="1" max="1" width="32.109375" bestFit="1" customWidth="1"/>
    <col min="2" max="2" width="62.88671875" customWidth="1"/>
    <col min="3" max="3" width="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160</v>
      </c>
    </row>
    <row r="3" spans="1:3">
      <c r="A3" s="2" t="s">
        <v>6</v>
      </c>
      <c r="B3" s="3" t="s">
        <v>7</v>
      </c>
      <c r="C3" s="4" t="s">
        <v>159</v>
      </c>
    </row>
    <row r="4" spans="1:3">
      <c r="A4" s="2" t="s">
        <v>385</v>
      </c>
      <c r="B4" s="3" t="s">
        <v>386</v>
      </c>
      <c r="C4" s="4" t="s">
        <v>387</v>
      </c>
    </row>
    <row r="5" spans="1:3">
      <c r="A5" s="2" t="s">
        <v>388</v>
      </c>
      <c r="B5" s="3" t="s">
        <v>389</v>
      </c>
      <c r="C5" s="4" t="s">
        <v>160</v>
      </c>
    </row>
    <row r="6" spans="1:3">
      <c r="A6" s="2" t="s">
        <v>390</v>
      </c>
      <c r="B6" s="3" t="s">
        <v>391</v>
      </c>
      <c r="C6" s="4" t="s">
        <v>159</v>
      </c>
    </row>
    <row r="7" spans="1:3">
      <c r="A7" s="2" t="s">
        <v>11</v>
      </c>
      <c r="B7" s="3" t="s">
        <v>12</v>
      </c>
      <c r="C7" s="4" t="s">
        <v>478</v>
      </c>
    </row>
    <row r="8" spans="1:3">
      <c r="A8" s="2" t="s">
        <v>27</v>
      </c>
      <c r="B8" s="3" t="s">
        <v>28</v>
      </c>
      <c r="C8" s="4" t="s">
        <v>159</v>
      </c>
    </row>
    <row r="9" spans="1:3">
      <c r="A9" s="2" t="s">
        <v>392</v>
      </c>
      <c r="B9" s="3" t="s">
        <v>393</v>
      </c>
      <c r="C9" s="4" t="s">
        <v>478</v>
      </c>
    </row>
    <row r="10" spans="1:3">
      <c r="A10" s="2" t="s">
        <v>23</v>
      </c>
      <c r="B10" s="3" t="s">
        <v>24</v>
      </c>
      <c r="C10" s="4" t="s">
        <v>478</v>
      </c>
    </row>
    <row r="11" spans="1:3">
      <c r="A11" s="2" t="s">
        <v>25</v>
      </c>
      <c r="B11" s="3" t="s">
        <v>26</v>
      </c>
      <c r="C11" s="4" t="s">
        <v>159</v>
      </c>
    </row>
    <row r="12" spans="1:3">
      <c r="A12" s="2" t="s">
        <v>394</v>
      </c>
      <c r="B12" s="3" t="s">
        <v>395</v>
      </c>
      <c r="C12" s="4" t="s">
        <v>159</v>
      </c>
    </row>
    <row r="13" spans="1:3">
      <c r="A13" s="2" t="s">
        <v>396</v>
      </c>
      <c r="B13" s="3" t="s">
        <v>397</v>
      </c>
      <c r="C13" s="4" t="s">
        <v>159</v>
      </c>
    </row>
    <row r="14" spans="1:3">
      <c r="A14" s="2" t="s">
        <v>398</v>
      </c>
      <c r="B14" s="3" t="s">
        <v>399</v>
      </c>
      <c r="C14" s="4" t="s">
        <v>159</v>
      </c>
    </row>
    <row r="15" spans="1:3">
      <c r="A15" s="2" t="s">
        <v>400</v>
      </c>
      <c r="B15" s="3" t="s">
        <v>401</v>
      </c>
      <c r="C15" s="4" t="s">
        <v>159</v>
      </c>
    </row>
    <row r="16" spans="1:3">
      <c r="A16" s="2" t="s">
        <v>402</v>
      </c>
      <c r="B16" s="3" t="s">
        <v>403</v>
      </c>
      <c r="C16" s="4" t="s">
        <v>159</v>
      </c>
    </row>
    <row r="17" spans="1:3">
      <c r="A17" s="2" t="s">
        <v>404</v>
      </c>
      <c r="B17" s="3" t="s">
        <v>405</v>
      </c>
      <c r="C17" s="4" t="s">
        <v>159</v>
      </c>
    </row>
    <row r="18" spans="1:3">
      <c r="A18" s="2" t="s">
        <v>406</v>
      </c>
      <c r="B18" s="3" t="s">
        <v>407</v>
      </c>
      <c r="C18" s="4" t="s">
        <v>159</v>
      </c>
    </row>
    <row r="19" spans="1:3">
      <c r="A19" s="2" t="s">
        <v>408</v>
      </c>
      <c r="B19" s="3" t="s">
        <v>409</v>
      </c>
      <c r="C19" s="4" t="s">
        <v>159</v>
      </c>
    </row>
    <row r="20" spans="1:3">
      <c r="A20" s="2" t="s">
        <v>410</v>
      </c>
      <c r="B20" s="3" t="s">
        <v>411</v>
      </c>
      <c r="C20" s="4" t="s">
        <v>160</v>
      </c>
    </row>
    <row r="21" spans="1:3">
      <c r="A21" s="2" t="s">
        <v>412</v>
      </c>
      <c r="B21" s="3" t="s">
        <v>413</v>
      </c>
      <c r="C21" s="4" t="s">
        <v>69</v>
      </c>
    </row>
    <row r="22" spans="1:3">
      <c r="A22" s="2" t="s">
        <v>414</v>
      </c>
      <c r="B22" s="3" t="s">
        <v>415</v>
      </c>
      <c r="C22" s="4" t="s">
        <v>69</v>
      </c>
    </row>
    <row r="23" spans="1:3">
      <c r="A23" s="2" t="s">
        <v>416</v>
      </c>
      <c r="B23" s="3" t="s">
        <v>417</v>
      </c>
      <c r="C23" s="4" t="s">
        <v>69</v>
      </c>
    </row>
    <row r="24" spans="1:3">
      <c r="A24" s="2" t="s">
        <v>418</v>
      </c>
      <c r="B24" s="3" t="s">
        <v>419</v>
      </c>
      <c r="C24" s="4" t="s">
        <v>69</v>
      </c>
    </row>
    <row r="25" spans="1:3">
      <c r="A25" s="2" t="s">
        <v>420</v>
      </c>
      <c r="B25" s="3" t="s">
        <v>421</v>
      </c>
      <c r="C25" s="4" t="s">
        <v>69</v>
      </c>
    </row>
    <row r="26" spans="1:3">
      <c r="A26" s="2" t="s">
        <v>422</v>
      </c>
      <c r="B26" s="3" t="s">
        <v>423</v>
      </c>
      <c r="C26" s="4" t="s">
        <v>69</v>
      </c>
    </row>
    <row r="27" spans="1:3">
      <c r="A27" s="2" t="s">
        <v>424</v>
      </c>
      <c r="B27" s="3" t="s">
        <v>425</v>
      </c>
      <c r="C27" s="4" t="s">
        <v>69</v>
      </c>
    </row>
    <row r="28" spans="1:3">
      <c r="A28" s="2" t="s">
        <v>426</v>
      </c>
      <c r="B28" s="3" t="s">
        <v>427</v>
      </c>
      <c r="C28" s="4" t="s">
        <v>69</v>
      </c>
    </row>
    <row r="29" spans="1:3">
      <c r="A29" s="2" t="s">
        <v>428</v>
      </c>
      <c r="B29" s="3" t="s">
        <v>429</v>
      </c>
      <c r="C29" s="4" t="s">
        <v>69</v>
      </c>
    </row>
    <row r="30" spans="1:3">
      <c r="A30" s="2" t="s">
        <v>430</v>
      </c>
      <c r="B30" s="3" t="s">
        <v>431</v>
      </c>
      <c r="C30" s="4" t="s">
        <v>159</v>
      </c>
    </row>
    <row r="31" spans="1:3">
      <c r="A31" s="2" t="s">
        <v>432</v>
      </c>
      <c r="B31" s="3" t="s">
        <v>433</v>
      </c>
      <c r="C31" s="4" t="s">
        <v>159</v>
      </c>
    </row>
    <row r="32" spans="1:3">
      <c r="A32" s="2" t="s">
        <v>434</v>
      </c>
      <c r="B32" s="3" t="s">
        <v>435</v>
      </c>
      <c r="C32" s="4" t="s">
        <v>159</v>
      </c>
    </row>
    <row r="33" spans="1:3">
      <c r="A33" s="2" t="s">
        <v>436</v>
      </c>
      <c r="B33" s="3" t="s">
        <v>437</v>
      </c>
      <c r="C33" s="4" t="s">
        <v>160</v>
      </c>
    </row>
    <row r="34" spans="1:3">
      <c r="A34" s="2" t="s">
        <v>438</v>
      </c>
      <c r="B34" s="3" t="s">
        <v>439</v>
      </c>
      <c r="C34" s="4" t="s">
        <v>160</v>
      </c>
    </row>
    <row r="35" spans="1:3">
      <c r="A35" s="2" t="s">
        <v>440</v>
      </c>
      <c r="B35" s="3" t="s">
        <v>441</v>
      </c>
      <c r="C35" s="4" t="s">
        <v>160</v>
      </c>
    </row>
    <row r="36" spans="1:3">
      <c r="A36" s="2" t="s">
        <v>442</v>
      </c>
      <c r="B36" s="3" t="s">
        <v>443</v>
      </c>
      <c r="C36" s="4" t="s">
        <v>160</v>
      </c>
    </row>
    <row r="37" spans="1:3">
      <c r="A37" s="2" t="s">
        <v>444</v>
      </c>
      <c r="B37" s="3" t="s">
        <v>445</v>
      </c>
      <c r="C37" s="4" t="s">
        <v>160</v>
      </c>
    </row>
    <row r="38" spans="1:3">
      <c r="A38" s="2" t="s">
        <v>446</v>
      </c>
      <c r="B38" s="3" t="s">
        <v>447</v>
      </c>
      <c r="C38" s="4" t="s">
        <v>160</v>
      </c>
    </row>
    <row r="39" spans="1:3">
      <c r="A39" s="2" t="s">
        <v>448</v>
      </c>
      <c r="B39" s="3" t="s">
        <v>449</v>
      </c>
      <c r="C39" s="4" t="s">
        <v>161</v>
      </c>
    </row>
    <row r="40" spans="1:3">
      <c r="A40" s="2" t="s">
        <v>450</v>
      </c>
      <c r="B40" s="3" t="s">
        <v>451</v>
      </c>
      <c r="C40" s="4" t="s">
        <v>161</v>
      </c>
    </row>
    <row r="41" spans="1:3">
      <c r="A41" s="2" t="s">
        <v>452</v>
      </c>
      <c r="B41" s="3" t="s">
        <v>453</v>
      </c>
      <c r="C41" s="4" t="s">
        <v>161</v>
      </c>
    </row>
    <row r="42" spans="1:3">
      <c r="A42" s="2" t="s">
        <v>454</v>
      </c>
      <c r="B42" s="3" t="s">
        <v>455</v>
      </c>
      <c r="C42" s="4" t="s">
        <v>161</v>
      </c>
    </row>
    <row r="43" spans="1:3">
      <c r="A43" s="2" t="s">
        <v>456</v>
      </c>
      <c r="B43" s="3" t="s">
        <v>457</v>
      </c>
      <c r="C43" s="4" t="s">
        <v>161</v>
      </c>
    </row>
    <row r="44" spans="1:3">
      <c r="A44" s="2" t="s">
        <v>458</v>
      </c>
      <c r="B44" s="3" t="s">
        <v>459</v>
      </c>
      <c r="C44" s="4" t="s">
        <v>161</v>
      </c>
    </row>
    <row r="45" spans="1:3">
      <c r="A45" s="2" t="s">
        <v>460</v>
      </c>
      <c r="B45" s="3" t="s">
        <v>461</v>
      </c>
      <c r="C45" s="4" t="s">
        <v>161</v>
      </c>
    </row>
    <row r="46" spans="1:3">
      <c r="A46" s="2" t="s">
        <v>462</v>
      </c>
      <c r="B46" s="3" t="s">
        <v>463</v>
      </c>
      <c r="C46" s="4" t="s">
        <v>161</v>
      </c>
    </row>
    <row r="47" spans="1:3">
      <c r="A47" s="2" t="s">
        <v>464</v>
      </c>
      <c r="B47" s="3" t="s">
        <v>465</v>
      </c>
      <c r="C47" s="4" t="s">
        <v>161</v>
      </c>
    </row>
    <row r="48" spans="1:3">
      <c r="A48" s="2" t="s">
        <v>466</v>
      </c>
      <c r="B48" s="3" t="s">
        <v>467</v>
      </c>
      <c r="C48" s="4" t="s">
        <v>161</v>
      </c>
    </row>
    <row r="49" spans="1:3">
      <c r="A49" s="2" t="s">
        <v>468</v>
      </c>
      <c r="B49" s="3" t="s">
        <v>469</v>
      </c>
      <c r="C49" s="4" t="s">
        <v>161</v>
      </c>
    </row>
    <row r="50" spans="1:3">
      <c r="A50" s="2" t="s">
        <v>470</v>
      </c>
      <c r="B50" s="3" t="s">
        <v>471</v>
      </c>
      <c r="C50" s="4" t="s">
        <v>161</v>
      </c>
    </row>
    <row r="51" spans="1:3">
      <c r="A51" s="2" t="s">
        <v>472</v>
      </c>
      <c r="B51" s="3" t="s">
        <v>473</v>
      </c>
      <c r="C51" s="4" t="s">
        <v>69</v>
      </c>
    </row>
    <row r="52" spans="1:3">
      <c r="A52" s="2" t="s">
        <v>34</v>
      </c>
      <c r="B52" s="3" t="s">
        <v>474</v>
      </c>
      <c r="C52" s="4" t="s">
        <v>69</v>
      </c>
    </row>
    <row r="53" spans="1:3">
      <c r="A53" s="2" t="s">
        <v>156</v>
      </c>
      <c r="B53" s="3" t="s">
        <v>157</v>
      </c>
      <c r="C53" s="4" t="s">
        <v>311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D2F4-9A09-41D2-9C35-D71BE99BAE11}">
  <dimension ref="A1:C27"/>
  <sheetViews>
    <sheetView workbookViewId="0">
      <selection activeCell="C7" sqref="C7"/>
    </sheetView>
  </sheetViews>
  <sheetFormatPr defaultRowHeight="14.4"/>
  <cols>
    <col min="1" max="1" width="25.44140625" style="6" bestFit="1" customWidth="1"/>
    <col min="2" max="2" width="51.44140625" style="6" customWidth="1"/>
    <col min="3" max="3" width="97.33203125" style="6" bestFit="1" customWidth="1"/>
    <col min="4" max="16384" width="8.88671875" style="6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4</v>
      </c>
      <c r="C2" s="8" t="s">
        <v>160</v>
      </c>
    </row>
    <row r="3" spans="1:3">
      <c r="A3" s="5" t="s">
        <v>6</v>
      </c>
      <c r="B3" s="7" t="s">
        <v>7</v>
      </c>
      <c r="C3" s="8" t="s">
        <v>159</v>
      </c>
    </row>
    <row r="4" spans="1:3">
      <c r="A4" s="5" t="s">
        <v>479</v>
      </c>
      <c r="B4" s="7" t="s">
        <v>480</v>
      </c>
      <c r="C4" s="8" t="s">
        <v>478</v>
      </c>
    </row>
    <row r="5" spans="1:3">
      <c r="A5" s="5" t="s">
        <v>481</v>
      </c>
      <c r="B5" s="7" t="s">
        <v>482</v>
      </c>
      <c r="C5" s="8" t="s">
        <v>387</v>
      </c>
    </row>
    <row r="6" spans="1:3">
      <c r="A6" s="2" t="s">
        <v>483</v>
      </c>
      <c r="B6" s="3" t="s">
        <v>520</v>
      </c>
      <c r="C6" s="9" t="s">
        <v>521</v>
      </c>
    </row>
    <row r="7" spans="1:3">
      <c r="A7" s="5" t="s">
        <v>23</v>
      </c>
      <c r="B7" s="7" t="s">
        <v>24</v>
      </c>
      <c r="C7" s="10" t="s">
        <v>478</v>
      </c>
    </row>
    <row r="8" spans="1:3">
      <c r="A8" s="5" t="s">
        <v>484</v>
      </c>
      <c r="B8" s="7" t="s">
        <v>485</v>
      </c>
      <c r="C8" s="8" t="s">
        <v>160</v>
      </c>
    </row>
    <row r="9" spans="1:3">
      <c r="A9" s="5" t="s">
        <v>486</v>
      </c>
      <c r="B9" s="7" t="s">
        <v>487</v>
      </c>
      <c r="C9" s="8" t="s">
        <v>159</v>
      </c>
    </row>
    <row r="10" spans="1:3">
      <c r="A10" s="5" t="s">
        <v>488</v>
      </c>
      <c r="B10" s="7" t="s">
        <v>489</v>
      </c>
      <c r="C10" s="8" t="s">
        <v>160</v>
      </c>
    </row>
    <row r="11" spans="1:3">
      <c r="A11" s="5" t="s">
        <v>490</v>
      </c>
      <c r="B11" s="7" t="s">
        <v>491</v>
      </c>
      <c r="C11" s="8" t="s">
        <v>159</v>
      </c>
    </row>
    <row r="12" spans="1:3">
      <c r="A12" s="5" t="s">
        <v>492</v>
      </c>
      <c r="B12" s="7" t="s">
        <v>493</v>
      </c>
      <c r="C12" s="8" t="s">
        <v>161</v>
      </c>
    </row>
    <row r="13" spans="1:3">
      <c r="A13" s="5" t="s">
        <v>494</v>
      </c>
      <c r="B13" s="7" t="s">
        <v>495</v>
      </c>
      <c r="C13" s="8" t="s">
        <v>161</v>
      </c>
    </row>
    <row r="14" spans="1:3">
      <c r="A14" s="5" t="s">
        <v>496</v>
      </c>
      <c r="B14" s="7" t="s">
        <v>497</v>
      </c>
      <c r="C14" s="8" t="s">
        <v>161</v>
      </c>
    </row>
    <row r="15" spans="1:3">
      <c r="A15" s="5" t="s">
        <v>498</v>
      </c>
      <c r="B15" s="7" t="s">
        <v>499</v>
      </c>
      <c r="C15" s="8" t="s">
        <v>160</v>
      </c>
    </row>
    <row r="16" spans="1:3">
      <c r="A16" s="5" t="s">
        <v>500</v>
      </c>
      <c r="B16" s="7" t="s">
        <v>501</v>
      </c>
      <c r="C16" s="8" t="s">
        <v>160</v>
      </c>
    </row>
    <row r="17" spans="1:3">
      <c r="A17" s="5" t="s">
        <v>502</v>
      </c>
      <c r="B17" s="7" t="s">
        <v>503</v>
      </c>
      <c r="C17" s="8" t="s">
        <v>160</v>
      </c>
    </row>
    <row r="18" spans="1:3">
      <c r="A18" s="5" t="s">
        <v>504</v>
      </c>
      <c r="B18" s="7" t="s">
        <v>505</v>
      </c>
      <c r="C18" s="8" t="s">
        <v>159</v>
      </c>
    </row>
    <row r="19" spans="1:3">
      <c r="A19" s="5" t="s">
        <v>506</v>
      </c>
      <c r="B19" s="7" t="s">
        <v>507</v>
      </c>
      <c r="C19" s="8" t="s">
        <v>159</v>
      </c>
    </row>
    <row r="20" spans="1:3">
      <c r="A20" s="5" t="s">
        <v>508</v>
      </c>
      <c r="B20" s="7" t="s">
        <v>509</v>
      </c>
      <c r="C20" s="8" t="s">
        <v>159</v>
      </c>
    </row>
    <row r="21" spans="1:3">
      <c r="A21" s="5" t="s">
        <v>29</v>
      </c>
      <c r="B21" s="7" t="s">
        <v>30</v>
      </c>
      <c r="C21" s="8" t="s">
        <v>159</v>
      </c>
    </row>
    <row r="22" spans="1:3">
      <c r="A22" s="5" t="s">
        <v>510</v>
      </c>
      <c r="B22" s="7" t="s">
        <v>511</v>
      </c>
      <c r="C22" s="8" t="s">
        <v>159</v>
      </c>
    </row>
    <row r="23" spans="1:3">
      <c r="A23" s="5" t="s">
        <v>512</v>
      </c>
      <c r="B23" s="7" t="s">
        <v>513</v>
      </c>
      <c r="C23" s="8" t="s">
        <v>160</v>
      </c>
    </row>
    <row r="24" spans="1:3">
      <c r="A24" s="5" t="s">
        <v>514</v>
      </c>
      <c r="B24" s="7" t="s">
        <v>515</v>
      </c>
      <c r="C24" s="8" t="s">
        <v>160</v>
      </c>
    </row>
    <row r="25" spans="1:3">
      <c r="A25" s="5" t="s">
        <v>516</v>
      </c>
      <c r="B25" s="7" t="s">
        <v>517</v>
      </c>
      <c r="C25" s="8" t="s">
        <v>159</v>
      </c>
    </row>
    <row r="26" spans="1:3">
      <c r="A26" s="5" t="s">
        <v>518</v>
      </c>
      <c r="B26" s="7" t="s">
        <v>519</v>
      </c>
      <c r="C26" s="8" t="s">
        <v>161</v>
      </c>
    </row>
    <row r="27" spans="1:3">
      <c r="A27" s="5" t="s">
        <v>156</v>
      </c>
      <c r="B27" s="7" t="s">
        <v>157</v>
      </c>
      <c r="C27" s="8" t="s">
        <v>311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02CC-A306-4FA0-984E-CCBA59C8906D}">
  <dimension ref="A1:K19"/>
  <sheetViews>
    <sheetView tabSelected="1" workbookViewId="0">
      <selection activeCell="F26" sqref="F26"/>
    </sheetView>
  </sheetViews>
  <sheetFormatPr defaultRowHeight="14.4"/>
  <cols>
    <col min="1" max="1" width="7" bestFit="1" customWidth="1"/>
    <col min="2" max="3" width="13.6640625" bestFit="1" customWidth="1"/>
    <col min="4" max="5" width="14.5546875" bestFit="1" customWidth="1"/>
    <col min="6" max="7" width="18.77734375" bestFit="1" customWidth="1"/>
  </cols>
  <sheetData>
    <row r="1" spans="1:11">
      <c r="A1" t="s">
        <v>6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I1" t="s">
        <v>528</v>
      </c>
      <c r="J1" t="s">
        <v>529</v>
      </c>
      <c r="K1" t="s">
        <v>530</v>
      </c>
    </row>
    <row r="2" spans="1:11">
      <c r="A2">
        <v>202310</v>
      </c>
      <c r="B2">
        <v>4366091</v>
      </c>
      <c r="C2">
        <v>4360883</v>
      </c>
      <c r="D2">
        <v>1429755</v>
      </c>
      <c r="E2">
        <v>1429755</v>
      </c>
      <c r="F2">
        <v>1759695</v>
      </c>
      <c r="G2">
        <v>1759695</v>
      </c>
      <c r="I2">
        <f>C2-B2</f>
        <v>-5208</v>
      </c>
      <c r="J2">
        <f>E2-D2</f>
        <v>0</v>
      </c>
      <c r="K2">
        <f>G2-F2</f>
        <v>0</v>
      </c>
    </row>
    <row r="3" spans="1:11">
      <c r="A3">
        <v>202311</v>
      </c>
      <c r="B3">
        <v>4312612</v>
      </c>
      <c r="C3">
        <v>4307758</v>
      </c>
      <c r="D3">
        <v>1448184</v>
      </c>
      <c r="E3">
        <v>1448184</v>
      </c>
      <c r="F3">
        <v>1783264</v>
      </c>
      <c r="G3">
        <v>1783264</v>
      </c>
      <c r="I3">
        <f t="shared" ref="I3:I19" si="0">C3-B3</f>
        <v>-4854</v>
      </c>
      <c r="J3">
        <f t="shared" ref="J3:J19" si="1">E3-D3</f>
        <v>0</v>
      </c>
      <c r="K3">
        <f t="shared" ref="K3:K19" si="2">G3-F3</f>
        <v>0</v>
      </c>
    </row>
    <row r="4" spans="1:11">
      <c r="A4">
        <v>202312</v>
      </c>
      <c r="B4">
        <v>4609579</v>
      </c>
      <c r="C4">
        <v>4603573</v>
      </c>
      <c r="D4">
        <v>1511629</v>
      </c>
      <c r="E4">
        <v>1511629</v>
      </c>
      <c r="F4">
        <v>1875533</v>
      </c>
      <c r="G4">
        <v>1875533</v>
      </c>
      <c r="I4">
        <f t="shared" si="0"/>
        <v>-6006</v>
      </c>
      <c r="J4">
        <f t="shared" si="1"/>
        <v>0</v>
      </c>
      <c r="K4">
        <f t="shared" si="2"/>
        <v>0</v>
      </c>
    </row>
    <row r="5" spans="1:11">
      <c r="A5">
        <v>202401</v>
      </c>
      <c r="B5">
        <v>4397192</v>
      </c>
      <c r="C5">
        <v>4391992</v>
      </c>
      <c r="D5">
        <v>1508640</v>
      </c>
      <c r="E5">
        <v>1508640</v>
      </c>
      <c r="F5">
        <v>1866742</v>
      </c>
      <c r="G5">
        <v>1866742</v>
      </c>
      <c r="I5">
        <f t="shared" si="0"/>
        <v>-5200</v>
      </c>
      <c r="J5">
        <f t="shared" si="1"/>
        <v>0</v>
      </c>
      <c r="K5">
        <f t="shared" si="2"/>
        <v>0</v>
      </c>
    </row>
    <row r="6" spans="1:11">
      <c r="A6">
        <v>202402</v>
      </c>
      <c r="B6">
        <v>4444044</v>
      </c>
      <c r="C6">
        <v>4438121</v>
      </c>
      <c r="D6">
        <v>1513604</v>
      </c>
      <c r="E6">
        <v>1513604</v>
      </c>
      <c r="F6">
        <v>1879546</v>
      </c>
      <c r="G6">
        <v>1879546</v>
      </c>
      <c r="I6">
        <f t="shared" si="0"/>
        <v>-5923</v>
      </c>
      <c r="J6">
        <f t="shared" si="1"/>
        <v>0</v>
      </c>
      <c r="K6">
        <f t="shared" si="2"/>
        <v>0</v>
      </c>
    </row>
    <row r="7" spans="1:11">
      <c r="A7">
        <v>202403</v>
      </c>
      <c r="B7">
        <v>4981887</v>
      </c>
      <c r="C7">
        <v>4973314</v>
      </c>
      <c r="D7">
        <v>1580382</v>
      </c>
      <c r="E7">
        <v>1580382</v>
      </c>
      <c r="F7">
        <v>1982465</v>
      </c>
      <c r="G7">
        <v>1982465</v>
      </c>
      <c r="I7">
        <f t="shared" si="0"/>
        <v>-8573</v>
      </c>
      <c r="J7">
        <f t="shared" si="1"/>
        <v>0</v>
      </c>
      <c r="K7">
        <f t="shared" si="2"/>
        <v>0</v>
      </c>
    </row>
    <row r="8" spans="1:11">
      <c r="A8">
        <v>202404</v>
      </c>
      <c r="B8">
        <v>4890093</v>
      </c>
      <c r="C8">
        <v>4877590</v>
      </c>
      <c r="D8">
        <v>1599384</v>
      </c>
      <c r="E8">
        <v>1599384</v>
      </c>
      <c r="F8">
        <v>2011623</v>
      </c>
      <c r="G8">
        <v>2011623</v>
      </c>
      <c r="I8">
        <f t="shared" si="0"/>
        <v>-12503</v>
      </c>
      <c r="J8">
        <f t="shared" si="1"/>
        <v>0</v>
      </c>
      <c r="K8">
        <f t="shared" si="2"/>
        <v>0</v>
      </c>
    </row>
    <row r="9" spans="1:11">
      <c r="A9">
        <v>202405</v>
      </c>
      <c r="B9">
        <v>5102046</v>
      </c>
      <c r="C9">
        <v>5081832</v>
      </c>
      <c r="D9">
        <v>1650460</v>
      </c>
      <c r="E9">
        <v>1650460</v>
      </c>
      <c r="F9">
        <v>2090755</v>
      </c>
      <c r="G9">
        <v>2090755</v>
      </c>
      <c r="I9">
        <f t="shared" si="0"/>
        <v>-20214</v>
      </c>
      <c r="J9">
        <f t="shared" si="1"/>
        <v>0</v>
      </c>
      <c r="K9">
        <f t="shared" si="2"/>
        <v>0</v>
      </c>
    </row>
    <row r="10" spans="1:11">
      <c r="A10">
        <v>202406</v>
      </c>
      <c r="B10">
        <v>5150385</v>
      </c>
      <c r="C10">
        <v>5134625</v>
      </c>
      <c r="D10">
        <v>1708324</v>
      </c>
      <c r="E10">
        <v>1708324</v>
      </c>
      <c r="F10">
        <v>2172745</v>
      </c>
      <c r="G10">
        <v>2172745</v>
      </c>
      <c r="I10">
        <f t="shared" si="0"/>
        <v>-15760</v>
      </c>
      <c r="J10">
        <f t="shared" si="1"/>
        <v>0</v>
      </c>
      <c r="K10">
        <f t="shared" si="2"/>
        <v>0</v>
      </c>
    </row>
    <row r="11" spans="1:11">
      <c r="A11">
        <v>202407</v>
      </c>
      <c r="B11">
        <v>5549310</v>
      </c>
      <c r="C11">
        <v>5533341</v>
      </c>
      <c r="D11">
        <v>1780332</v>
      </c>
      <c r="E11">
        <v>1780332</v>
      </c>
      <c r="F11">
        <v>2292069</v>
      </c>
      <c r="G11">
        <v>2292069</v>
      </c>
      <c r="I11">
        <f t="shared" si="0"/>
        <v>-15969</v>
      </c>
      <c r="J11">
        <f t="shared" si="1"/>
        <v>0</v>
      </c>
      <c r="K11">
        <f t="shared" si="2"/>
        <v>0</v>
      </c>
    </row>
    <row r="12" spans="1:11">
      <c r="A12">
        <v>202408</v>
      </c>
      <c r="B12">
        <v>5903693</v>
      </c>
      <c r="C12">
        <v>5884685</v>
      </c>
      <c r="D12">
        <v>1821869</v>
      </c>
      <c r="E12">
        <v>1821869</v>
      </c>
      <c r="F12">
        <v>2364586</v>
      </c>
      <c r="G12">
        <v>2364586</v>
      </c>
      <c r="I12">
        <f t="shared" si="0"/>
        <v>-19008</v>
      </c>
      <c r="J12">
        <f t="shared" si="1"/>
        <v>0</v>
      </c>
      <c r="K12">
        <f t="shared" si="2"/>
        <v>0</v>
      </c>
    </row>
    <row r="13" spans="1:11">
      <c r="A13">
        <v>202409</v>
      </c>
      <c r="B13">
        <v>5849901</v>
      </c>
      <c r="C13">
        <v>5831395</v>
      </c>
      <c r="D13">
        <v>1838158</v>
      </c>
      <c r="E13">
        <v>1838158</v>
      </c>
      <c r="F13">
        <v>2378768</v>
      </c>
      <c r="G13">
        <v>2378768</v>
      </c>
      <c r="I13">
        <f t="shared" si="0"/>
        <v>-18506</v>
      </c>
      <c r="J13">
        <f t="shared" si="1"/>
        <v>0</v>
      </c>
      <c r="K13">
        <f t="shared" si="2"/>
        <v>0</v>
      </c>
    </row>
    <row r="14" spans="1:11">
      <c r="A14">
        <v>202410</v>
      </c>
      <c r="B14">
        <v>6849716</v>
      </c>
      <c r="C14">
        <v>6829005</v>
      </c>
      <c r="D14">
        <v>2025433</v>
      </c>
      <c r="E14">
        <v>2025433</v>
      </c>
      <c r="F14">
        <v>2660785</v>
      </c>
      <c r="G14">
        <v>2660785</v>
      </c>
      <c r="I14">
        <f t="shared" si="0"/>
        <v>-20711</v>
      </c>
      <c r="J14">
        <f t="shared" si="1"/>
        <v>0</v>
      </c>
      <c r="K14">
        <f t="shared" si="2"/>
        <v>0</v>
      </c>
    </row>
    <row r="15" spans="1:11">
      <c r="A15">
        <v>202411</v>
      </c>
      <c r="B15">
        <v>7187244</v>
      </c>
      <c r="C15">
        <v>7167092</v>
      </c>
      <c r="D15">
        <v>2199993</v>
      </c>
      <c r="E15">
        <v>2199993</v>
      </c>
      <c r="F15">
        <v>2947022</v>
      </c>
      <c r="G15">
        <v>2947022</v>
      </c>
      <c r="I15">
        <f t="shared" si="0"/>
        <v>-20152</v>
      </c>
      <c r="J15">
        <f t="shared" si="1"/>
        <v>0</v>
      </c>
      <c r="K15">
        <f t="shared" si="2"/>
        <v>0</v>
      </c>
    </row>
    <row r="16" spans="1:11">
      <c r="A16">
        <v>202412</v>
      </c>
      <c r="B16">
        <v>7321919</v>
      </c>
      <c r="C16">
        <v>7283303</v>
      </c>
      <c r="D16">
        <v>2306817</v>
      </c>
      <c r="E16">
        <v>2306817</v>
      </c>
      <c r="F16">
        <v>3117906</v>
      </c>
      <c r="G16">
        <v>3117906</v>
      </c>
      <c r="I16">
        <f t="shared" si="0"/>
        <v>-38616</v>
      </c>
      <c r="J16">
        <f t="shared" si="1"/>
        <v>0</v>
      </c>
      <c r="K16">
        <f t="shared" si="2"/>
        <v>0</v>
      </c>
    </row>
    <row r="17" spans="1:11">
      <c r="A17">
        <v>202501</v>
      </c>
      <c r="B17">
        <v>6691129</v>
      </c>
      <c r="C17">
        <v>6661177</v>
      </c>
      <c r="D17">
        <v>2297663</v>
      </c>
      <c r="E17">
        <v>2297663</v>
      </c>
      <c r="F17">
        <v>3023496</v>
      </c>
      <c r="G17">
        <v>3023496</v>
      </c>
      <c r="I17">
        <f t="shared" si="0"/>
        <v>-29952</v>
      </c>
      <c r="J17">
        <f t="shared" si="1"/>
        <v>0</v>
      </c>
      <c r="K17">
        <f t="shared" si="2"/>
        <v>0</v>
      </c>
    </row>
    <row r="18" spans="1:11">
      <c r="A18">
        <v>202502</v>
      </c>
      <c r="B18">
        <v>6271393</v>
      </c>
      <c r="C18">
        <v>6257688</v>
      </c>
      <c r="D18">
        <v>2329824</v>
      </c>
      <c r="E18">
        <v>2329824</v>
      </c>
      <c r="F18">
        <v>3035643</v>
      </c>
      <c r="G18">
        <v>3035643</v>
      </c>
      <c r="I18">
        <f t="shared" si="0"/>
        <v>-13705</v>
      </c>
      <c r="J18">
        <f t="shared" si="1"/>
        <v>0</v>
      </c>
      <c r="K18">
        <f t="shared" si="2"/>
        <v>0</v>
      </c>
    </row>
    <row r="19" spans="1:11">
      <c r="A19">
        <v>202503</v>
      </c>
      <c r="B19">
        <v>6335417</v>
      </c>
      <c r="C19">
        <v>6320984</v>
      </c>
      <c r="D19">
        <v>2331767</v>
      </c>
      <c r="E19">
        <v>2331767</v>
      </c>
      <c r="F19">
        <v>3037585</v>
      </c>
      <c r="G19">
        <v>3037585</v>
      </c>
      <c r="I19">
        <f t="shared" si="0"/>
        <v>-14433</v>
      </c>
      <c r="J19">
        <f t="shared" si="1"/>
        <v>0</v>
      </c>
      <c r="K19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F5E6-5375-4425-B56F-409F24B17D76}">
  <dimension ref="A1:C76"/>
  <sheetViews>
    <sheetView topLeftCell="A55" workbookViewId="0">
      <selection activeCell="C83" sqref="C83"/>
    </sheetView>
  </sheetViews>
  <sheetFormatPr defaultColWidth="17.44140625" defaultRowHeight="14.4"/>
  <cols>
    <col min="1" max="1" width="17.33203125" bestFit="1" customWidth="1"/>
    <col min="2" max="2" width="34.109375" bestFit="1" customWidth="1"/>
    <col min="3" max="3" width="71.3320312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162</v>
      </c>
      <c r="C2" s="8" t="s">
        <v>163</v>
      </c>
    </row>
    <row r="3" spans="1:3">
      <c r="A3" s="5" t="s">
        <v>6</v>
      </c>
      <c r="B3" s="7" t="s">
        <v>164</v>
      </c>
      <c r="C3" s="8" t="s">
        <v>165</v>
      </c>
    </row>
    <row r="4" spans="1:3">
      <c r="A4" s="5" t="s">
        <v>166</v>
      </c>
      <c r="B4" s="7" t="s">
        <v>167</v>
      </c>
      <c r="C4" s="8" t="s">
        <v>312</v>
      </c>
    </row>
    <row r="5" spans="1:3">
      <c r="A5" s="5" t="s">
        <v>168</v>
      </c>
      <c r="B5" s="7" t="s">
        <v>169</v>
      </c>
      <c r="C5" s="8" t="s">
        <v>159</v>
      </c>
    </row>
    <row r="6" spans="1:3">
      <c r="A6" s="5" t="s">
        <v>170</v>
      </c>
      <c r="B6" s="7" t="s">
        <v>171</v>
      </c>
      <c r="C6" s="8" t="s">
        <v>172</v>
      </c>
    </row>
    <row r="7" spans="1:3">
      <c r="A7" s="5" t="s">
        <v>173</v>
      </c>
      <c r="B7" s="7" t="s">
        <v>174</v>
      </c>
      <c r="C7" s="8" t="s">
        <v>172</v>
      </c>
    </row>
    <row r="8" spans="1:3">
      <c r="A8" s="5" t="s">
        <v>175</v>
      </c>
      <c r="B8" s="7" t="s">
        <v>176</v>
      </c>
      <c r="C8" s="8" t="s">
        <v>159</v>
      </c>
    </row>
    <row r="9" spans="1:3">
      <c r="A9" s="5" t="s">
        <v>177</v>
      </c>
      <c r="B9" s="7" t="s">
        <v>178</v>
      </c>
      <c r="C9" s="8" t="s">
        <v>159</v>
      </c>
    </row>
    <row r="10" spans="1:3">
      <c r="A10" s="5" t="s">
        <v>179</v>
      </c>
      <c r="B10" s="7" t="s">
        <v>180</v>
      </c>
      <c r="C10" s="8" t="s">
        <v>161</v>
      </c>
    </row>
    <row r="11" spans="1:3">
      <c r="A11" s="5" t="s">
        <v>181</v>
      </c>
      <c r="B11" s="7" t="s">
        <v>182</v>
      </c>
      <c r="C11" s="8" t="s">
        <v>161</v>
      </c>
    </row>
    <row r="12" spans="1:3">
      <c r="A12" s="5" t="s">
        <v>183</v>
      </c>
      <c r="B12" s="7" t="s">
        <v>184</v>
      </c>
      <c r="C12" s="8" t="s">
        <v>161</v>
      </c>
    </row>
    <row r="13" spans="1:3">
      <c r="A13" s="5" t="s">
        <v>185</v>
      </c>
      <c r="B13" s="7" t="s">
        <v>186</v>
      </c>
      <c r="C13" s="8" t="s">
        <v>161</v>
      </c>
    </row>
    <row r="14" spans="1:3">
      <c r="A14" s="5" t="s">
        <v>187</v>
      </c>
      <c r="B14" s="7" t="s">
        <v>188</v>
      </c>
      <c r="C14" s="8" t="s">
        <v>161</v>
      </c>
    </row>
    <row r="15" spans="1:3">
      <c r="A15" s="5" t="s">
        <v>189</v>
      </c>
      <c r="B15" s="7" t="s">
        <v>190</v>
      </c>
      <c r="C15" s="8" t="s">
        <v>161</v>
      </c>
    </row>
    <row r="16" spans="1:3">
      <c r="A16" s="5" t="s">
        <v>191</v>
      </c>
      <c r="B16" s="7" t="s">
        <v>192</v>
      </c>
      <c r="C16" s="8" t="s">
        <v>161</v>
      </c>
    </row>
    <row r="17" spans="1:3">
      <c r="A17" s="5" t="s">
        <v>193</v>
      </c>
      <c r="B17" s="7" t="s">
        <v>194</v>
      </c>
      <c r="C17" s="8" t="s">
        <v>161</v>
      </c>
    </row>
    <row r="18" spans="1:3">
      <c r="A18" s="5" t="s">
        <v>195</v>
      </c>
      <c r="B18" s="7" t="s">
        <v>196</v>
      </c>
      <c r="C18" s="8" t="s">
        <v>161</v>
      </c>
    </row>
    <row r="19" spans="1:3">
      <c r="A19" s="5" t="s">
        <v>197</v>
      </c>
      <c r="B19" s="7" t="s">
        <v>198</v>
      </c>
      <c r="C19" s="8" t="s">
        <v>161</v>
      </c>
    </row>
    <row r="20" spans="1:3">
      <c r="A20" s="5" t="s">
        <v>199</v>
      </c>
      <c r="B20" s="7" t="s">
        <v>200</v>
      </c>
      <c r="C20" s="8" t="s">
        <v>161</v>
      </c>
    </row>
    <row r="21" spans="1:3">
      <c r="A21" s="5" t="s">
        <v>201</v>
      </c>
      <c r="B21" s="7" t="s">
        <v>202</v>
      </c>
      <c r="C21" s="8" t="s">
        <v>161</v>
      </c>
    </row>
    <row r="22" spans="1:3">
      <c r="A22" s="5" t="s">
        <v>203</v>
      </c>
      <c r="B22" s="7" t="s">
        <v>204</v>
      </c>
      <c r="C22" s="8" t="s">
        <v>161</v>
      </c>
    </row>
    <row r="23" spans="1:3">
      <c r="A23" s="5" t="s">
        <v>205</v>
      </c>
      <c r="B23" s="7" t="s">
        <v>206</v>
      </c>
      <c r="C23" s="8" t="s">
        <v>161</v>
      </c>
    </row>
    <row r="24" spans="1:3">
      <c r="A24" s="5" t="s">
        <v>207</v>
      </c>
      <c r="B24" s="7" t="s">
        <v>208</v>
      </c>
      <c r="C24" s="8" t="s">
        <v>161</v>
      </c>
    </row>
    <row r="25" spans="1:3">
      <c r="A25" s="5" t="s">
        <v>209</v>
      </c>
      <c r="B25" s="7" t="s">
        <v>210</v>
      </c>
      <c r="C25" s="8" t="s">
        <v>161</v>
      </c>
    </row>
    <row r="26" spans="1:3">
      <c r="A26" s="5" t="s">
        <v>211</v>
      </c>
      <c r="B26" s="7" t="s">
        <v>212</v>
      </c>
      <c r="C26" s="8" t="s">
        <v>161</v>
      </c>
    </row>
    <row r="27" spans="1:3">
      <c r="A27" s="5" t="s">
        <v>213</v>
      </c>
      <c r="B27" s="7" t="s">
        <v>214</v>
      </c>
      <c r="C27" s="8" t="s">
        <v>161</v>
      </c>
    </row>
    <row r="28" spans="1:3">
      <c r="A28" s="5" t="s">
        <v>215</v>
      </c>
      <c r="B28" s="7" t="s">
        <v>216</v>
      </c>
      <c r="C28" s="8" t="s">
        <v>161</v>
      </c>
    </row>
    <row r="29" spans="1:3">
      <c r="A29" s="5" t="s">
        <v>217</v>
      </c>
      <c r="B29" s="7" t="s">
        <v>218</v>
      </c>
      <c r="C29" s="8" t="s">
        <v>161</v>
      </c>
    </row>
    <row r="30" spans="1:3">
      <c r="A30" s="5" t="s">
        <v>219</v>
      </c>
      <c r="B30" s="7" t="s">
        <v>220</v>
      </c>
      <c r="C30" s="8" t="s">
        <v>161</v>
      </c>
    </row>
    <row r="31" spans="1:3">
      <c r="A31" s="5" t="s">
        <v>221</v>
      </c>
      <c r="B31" s="7" t="s">
        <v>222</v>
      </c>
      <c r="C31" s="8" t="s">
        <v>161</v>
      </c>
    </row>
    <row r="32" spans="1:3">
      <c r="A32" s="5" t="s">
        <v>223</v>
      </c>
      <c r="B32" s="7" t="s">
        <v>224</v>
      </c>
      <c r="C32" s="8" t="s">
        <v>161</v>
      </c>
    </row>
    <row r="33" spans="1:3">
      <c r="A33" s="5" t="s">
        <v>225</v>
      </c>
      <c r="B33" s="7" t="s">
        <v>226</v>
      </c>
      <c r="C33" s="8" t="s">
        <v>161</v>
      </c>
    </row>
    <row r="34" spans="1:3">
      <c r="A34" s="5" t="s">
        <v>227</v>
      </c>
      <c r="B34" s="7" t="s">
        <v>228</v>
      </c>
      <c r="C34" s="8" t="s">
        <v>161</v>
      </c>
    </row>
    <row r="35" spans="1:3">
      <c r="A35" s="5" t="s">
        <v>229</v>
      </c>
      <c r="B35" s="7" t="s">
        <v>230</v>
      </c>
      <c r="C35" s="8" t="s">
        <v>161</v>
      </c>
    </row>
    <row r="36" spans="1:3">
      <c r="A36" s="5" t="s">
        <v>231</v>
      </c>
      <c r="B36" s="7" t="s">
        <v>232</v>
      </c>
      <c r="C36" s="8" t="s">
        <v>161</v>
      </c>
    </row>
    <row r="37" spans="1:3">
      <c r="A37" s="5" t="s">
        <v>233</v>
      </c>
      <c r="B37" s="7" t="s">
        <v>234</v>
      </c>
      <c r="C37" s="8" t="s">
        <v>161</v>
      </c>
    </row>
    <row r="38" spans="1:3">
      <c r="A38" s="5" t="s">
        <v>235</v>
      </c>
      <c r="B38" s="7" t="s">
        <v>236</v>
      </c>
      <c r="C38" s="8" t="s">
        <v>161</v>
      </c>
    </row>
    <row r="39" spans="1:3">
      <c r="A39" s="5" t="s">
        <v>237</v>
      </c>
      <c r="B39" s="7" t="s">
        <v>238</v>
      </c>
      <c r="C39" s="8" t="s">
        <v>161</v>
      </c>
    </row>
    <row r="40" spans="1:3">
      <c r="A40" s="5" t="s">
        <v>239</v>
      </c>
      <c r="B40" s="7" t="s">
        <v>240</v>
      </c>
      <c r="C40" s="8" t="s">
        <v>161</v>
      </c>
    </row>
    <row r="41" spans="1:3">
      <c r="A41" s="5" t="s">
        <v>241</v>
      </c>
      <c r="B41" s="7" t="s">
        <v>242</v>
      </c>
      <c r="C41" s="8" t="s">
        <v>161</v>
      </c>
    </row>
    <row r="42" spans="1:3">
      <c r="A42" s="5" t="s">
        <v>243</v>
      </c>
      <c r="B42" s="7" t="s">
        <v>244</v>
      </c>
      <c r="C42" s="8" t="s">
        <v>161</v>
      </c>
    </row>
    <row r="43" spans="1:3">
      <c r="A43" s="5" t="s">
        <v>245</v>
      </c>
      <c r="B43" s="7" t="s">
        <v>246</v>
      </c>
      <c r="C43" s="8" t="s">
        <v>161</v>
      </c>
    </row>
    <row r="44" spans="1:3">
      <c r="A44" s="5" t="s">
        <v>247</v>
      </c>
      <c r="B44" s="7" t="s">
        <v>248</v>
      </c>
      <c r="C44" s="8" t="s">
        <v>161</v>
      </c>
    </row>
    <row r="45" spans="1:3">
      <c r="A45" s="5" t="s">
        <v>249</v>
      </c>
      <c r="B45" s="7" t="s">
        <v>250</v>
      </c>
      <c r="C45" s="8" t="s">
        <v>161</v>
      </c>
    </row>
    <row r="46" spans="1:3">
      <c r="A46" s="5" t="s">
        <v>251</v>
      </c>
      <c r="B46" s="7" t="s">
        <v>252</v>
      </c>
      <c r="C46" s="8" t="s">
        <v>161</v>
      </c>
    </row>
    <row r="47" spans="1:3">
      <c r="A47" s="5" t="s">
        <v>253</v>
      </c>
      <c r="B47" s="7" t="s">
        <v>254</v>
      </c>
      <c r="C47" s="8" t="s">
        <v>161</v>
      </c>
    </row>
    <row r="48" spans="1:3">
      <c r="A48" s="5" t="s">
        <v>255</v>
      </c>
      <c r="B48" s="7" t="s">
        <v>256</v>
      </c>
      <c r="C48" s="8" t="s">
        <v>161</v>
      </c>
    </row>
    <row r="49" spans="1:3">
      <c r="A49" s="5" t="s">
        <v>257</v>
      </c>
      <c r="B49" s="7" t="s">
        <v>258</v>
      </c>
      <c r="C49" s="8" t="s">
        <v>161</v>
      </c>
    </row>
    <row r="50" spans="1:3">
      <c r="A50" s="5" t="s">
        <v>259</v>
      </c>
      <c r="B50" s="7" t="s">
        <v>260</v>
      </c>
      <c r="C50" s="8" t="s">
        <v>161</v>
      </c>
    </row>
    <row r="51" spans="1:3">
      <c r="A51" s="5" t="s">
        <v>261</v>
      </c>
      <c r="B51" s="7" t="s">
        <v>262</v>
      </c>
      <c r="C51" s="8" t="s">
        <v>161</v>
      </c>
    </row>
    <row r="52" spans="1:3">
      <c r="A52" s="5" t="s">
        <v>263</v>
      </c>
      <c r="B52" s="7" t="s">
        <v>264</v>
      </c>
      <c r="C52" s="8" t="s">
        <v>161</v>
      </c>
    </row>
    <row r="53" spans="1:3">
      <c r="A53" s="5" t="s">
        <v>265</v>
      </c>
      <c r="B53" s="7" t="s">
        <v>266</v>
      </c>
      <c r="C53" s="8" t="s">
        <v>161</v>
      </c>
    </row>
    <row r="54" spans="1:3">
      <c r="A54" s="5" t="s">
        <v>267</v>
      </c>
      <c r="B54" s="7" t="s">
        <v>268</v>
      </c>
      <c r="C54" s="8" t="s">
        <v>161</v>
      </c>
    </row>
    <row r="55" spans="1:3">
      <c r="A55" s="5" t="s">
        <v>269</v>
      </c>
      <c r="B55" s="7" t="s">
        <v>270</v>
      </c>
      <c r="C55" s="8" t="s">
        <v>161</v>
      </c>
    </row>
    <row r="56" spans="1:3">
      <c r="A56" s="5" t="s">
        <v>271</v>
      </c>
      <c r="B56" s="7" t="s">
        <v>272</v>
      </c>
      <c r="C56" s="8" t="s">
        <v>159</v>
      </c>
    </row>
    <row r="57" spans="1:3">
      <c r="A57" s="5" t="s">
        <v>273</v>
      </c>
      <c r="B57" s="7" t="s">
        <v>274</v>
      </c>
      <c r="C57" s="8" t="s">
        <v>159</v>
      </c>
    </row>
    <row r="58" spans="1:3">
      <c r="A58" s="5" t="s">
        <v>275</v>
      </c>
      <c r="B58" s="7" t="s">
        <v>276</v>
      </c>
      <c r="C58" s="8" t="s">
        <v>159</v>
      </c>
    </row>
    <row r="59" spans="1:3">
      <c r="A59" s="5" t="s">
        <v>277</v>
      </c>
      <c r="B59" s="7" t="s">
        <v>278</v>
      </c>
      <c r="C59" s="8" t="s">
        <v>159</v>
      </c>
    </row>
    <row r="60" spans="1:3">
      <c r="A60" s="5" t="s">
        <v>279</v>
      </c>
      <c r="B60" s="7" t="s">
        <v>280</v>
      </c>
      <c r="C60" s="8" t="s">
        <v>159</v>
      </c>
    </row>
    <row r="61" spans="1:3">
      <c r="A61" s="5" t="s">
        <v>281</v>
      </c>
      <c r="B61" s="7" t="s">
        <v>282</v>
      </c>
      <c r="C61" s="8" t="s">
        <v>161</v>
      </c>
    </row>
    <row r="62" spans="1:3">
      <c r="A62" s="5" t="s">
        <v>283</v>
      </c>
      <c r="B62" s="7" t="s">
        <v>284</v>
      </c>
      <c r="C62" s="8" t="s">
        <v>161</v>
      </c>
    </row>
    <row r="63" spans="1:3">
      <c r="A63" s="5" t="s">
        <v>285</v>
      </c>
      <c r="B63" s="7" t="s">
        <v>286</v>
      </c>
      <c r="C63" s="8" t="s">
        <v>161</v>
      </c>
    </row>
    <row r="64" spans="1:3">
      <c r="A64" s="5" t="s">
        <v>287</v>
      </c>
      <c r="B64" s="7" t="s">
        <v>288</v>
      </c>
      <c r="C64" s="8" t="s">
        <v>159</v>
      </c>
    </row>
    <row r="65" spans="1:3">
      <c r="A65" s="5" t="s">
        <v>289</v>
      </c>
      <c r="B65" s="7" t="s">
        <v>290</v>
      </c>
      <c r="C65" s="8" t="s">
        <v>159</v>
      </c>
    </row>
    <row r="66" spans="1:3">
      <c r="A66" s="5" t="s">
        <v>291</v>
      </c>
      <c r="B66" s="7" t="s">
        <v>292</v>
      </c>
      <c r="C66" s="8" t="s">
        <v>159</v>
      </c>
    </row>
    <row r="67" spans="1:3">
      <c r="A67" s="5" t="s">
        <v>293</v>
      </c>
      <c r="B67" s="7" t="s">
        <v>294</v>
      </c>
      <c r="C67" s="8" t="s">
        <v>159</v>
      </c>
    </row>
    <row r="68" spans="1:3">
      <c r="A68" s="5" t="s">
        <v>295</v>
      </c>
      <c r="B68" s="7" t="s">
        <v>296</v>
      </c>
      <c r="C68" s="8" t="s">
        <v>161</v>
      </c>
    </row>
    <row r="69" spans="1:3">
      <c r="A69" s="5" t="s">
        <v>297</v>
      </c>
      <c r="B69" s="7" t="s">
        <v>298</v>
      </c>
      <c r="C69" s="8" t="s">
        <v>159</v>
      </c>
    </row>
    <row r="70" spans="1:3">
      <c r="A70" s="5" t="s">
        <v>299</v>
      </c>
      <c r="B70" s="7" t="s">
        <v>300</v>
      </c>
      <c r="C70" s="8" t="s">
        <v>159</v>
      </c>
    </row>
    <row r="71" spans="1:3">
      <c r="A71" s="5" t="s">
        <v>301</v>
      </c>
      <c r="B71" s="7" t="s">
        <v>302</v>
      </c>
      <c r="C71" s="8" t="s">
        <v>159</v>
      </c>
    </row>
    <row r="72" spans="1:3">
      <c r="A72" s="5" t="s">
        <v>303</v>
      </c>
      <c r="B72" s="7" t="s">
        <v>304</v>
      </c>
      <c r="C72" s="8" t="s">
        <v>159</v>
      </c>
    </row>
    <row r="73" spans="1:3">
      <c r="A73" s="5" t="s">
        <v>305</v>
      </c>
      <c r="B73" s="7" t="s">
        <v>306</v>
      </c>
      <c r="C73" s="8" t="s">
        <v>159</v>
      </c>
    </row>
    <row r="74" spans="1:3">
      <c r="A74" s="5" t="s">
        <v>307</v>
      </c>
      <c r="B74" s="7" t="s">
        <v>308</v>
      </c>
      <c r="C74" s="8" t="s">
        <v>159</v>
      </c>
    </row>
    <row r="75" spans="1:3">
      <c r="A75" s="5" t="s">
        <v>309</v>
      </c>
      <c r="B75" s="7" t="s">
        <v>310</v>
      </c>
      <c r="C75" s="8" t="s">
        <v>159</v>
      </c>
    </row>
    <row r="76" spans="1:3">
      <c r="A76" s="5" t="s">
        <v>156</v>
      </c>
      <c r="B76" s="7" t="s">
        <v>157</v>
      </c>
      <c r="C76" s="8" t="s">
        <v>311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EE37-0EC5-47BB-A09F-F5A1E313D7B0}">
  <dimension ref="A1:C35"/>
  <sheetViews>
    <sheetView workbookViewId="0">
      <selection activeCell="C18" sqref="C18"/>
    </sheetView>
  </sheetViews>
  <sheetFormatPr defaultRowHeight="14.4"/>
  <cols>
    <col min="1" max="1" width="19.77734375" bestFit="1" customWidth="1"/>
    <col min="2" max="2" width="47.44140625" customWidth="1"/>
    <col min="3" max="3" width="121.7773437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162</v>
      </c>
      <c r="C2" s="8" t="s">
        <v>313</v>
      </c>
    </row>
    <row r="3" spans="1:3">
      <c r="A3" s="5" t="s">
        <v>6</v>
      </c>
      <c r="B3" s="7" t="s">
        <v>314</v>
      </c>
      <c r="C3" s="8" t="s">
        <v>372</v>
      </c>
    </row>
    <row r="4" spans="1:3">
      <c r="A4" s="5" t="s">
        <v>166</v>
      </c>
      <c r="B4" s="7" t="s">
        <v>167</v>
      </c>
      <c r="C4" s="8" t="s">
        <v>159</v>
      </c>
    </row>
    <row r="5" spans="1:3">
      <c r="A5" s="5" t="s">
        <v>168</v>
      </c>
      <c r="B5" s="7" t="s">
        <v>169</v>
      </c>
      <c r="C5" s="8" t="s">
        <v>159</v>
      </c>
    </row>
    <row r="6" spans="1:3">
      <c r="A6" s="5" t="s">
        <v>170</v>
      </c>
      <c r="B6" s="7" t="s">
        <v>171</v>
      </c>
      <c r="C6" s="8" t="s">
        <v>172</v>
      </c>
    </row>
    <row r="7" spans="1:3">
      <c r="A7" s="5" t="s">
        <v>173</v>
      </c>
      <c r="B7" s="7" t="s">
        <v>174</v>
      </c>
      <c r="C7" s="8" t="s">
        <v>172</v>
      </c>
    </row>
    <row r="8" spans="1:3">
      <c r="A8" s="5" t="s">
        <v>315</v>
      </c>
      <c r="B8" s="7" t="s">
        <v>316</v>
      </c>
      <c r="C8" s="8" t="s">
        <v>172</v>
      </c>
    </row>
    <row r="9" spans="1:3">
      <c r="A9" s="5" t="s">
        <v>317</v>
      </c>
      <c r="B9" s="7" t="s">
        <v>318</v>
      </c>
      <c r="C9" s="8" t="s">
        <v>319</v>
      </c>
    </row>
    <row r="10" spans="1:3">
      <c r="A10" s="5" t="s">
        <v>320</v>
      </c>
      <c r="B10" s="7" t="s">
        <v>321</v>
      </c>
      <c r="C10" s="8" t="s">
        <v>159</v>
      </c>
    </row>
    <row r="11" spans="1:3">
      <c r="A11" s="5" t="s">
        <v>322</v>
      </c>
      <c r="B11" s="7" t="s">
        <v>323</v>
      </c>
      <c r="C11" s="8" t="s">
        <v>159</v>
      </c>
    </row>
    <row r="12" spans="1:3">
      <c r="A12" s="5" t="s">
        <v>324</v>
      </c>
      <c r="B12" s="7" t="s">
        <v>325</v>
      </c>
      <c r="C12" s="8" t="s">
        <v>159</v>
      </c>
    </row>
    <row r="13" spans="1:3">
      <c r="A13" s="5" t="s">
        <v>326</v>
      </c>
      <c r="B13" s="7" t="s">
        <v>327</v>
      </c>
      <c r="C13" s="8" t="s">
        <v>159</v>
      </c>
    </row>
    <row r="14" spans="1:3">
      <c r="A14" s="5" t="s">
        <v>328</v>
      </c>
      <c r="B14" s="7" t="s">
        <v>329</v>
      </c>
      <c r="C14" s="8" t="s">
        <v>159</v>
      </c>
    </row>
    <row r="15" spans="1:3">
      <c r="A15" s="5" t="s">
        <v>330</v>
      </c>
      <c r="B15" s="7" t="s">
        <v>331</v>
      </c>
      <c r="C15" s="8" t="s">
        <v>159</v>
      </c>
    </row>
    <row r="16" spans="1:3">
      <c r="A16" s="5" t="s">
        <v>332</v>
      </c>
      <c r="B16" s="7" t="s">
        <v>333</v>
      </c>
      <c r="C16" s="8" t="s">
        <v>159</v>
      </c>
    </row>
    <row r="17" spans="1:3">
      <c r="A17" s="5" t="s">
        <v>334</v>
      </c>
      <c r="B17" s="7" t="s">
        <v>335</v>
      </c>
      <c r="C17" s="8" t="s">
        <v>159</v>
      </c>
    </row>
    <row r="18" spans="1:3">
      <c r="A18" s="5" t="s">
        <v>336</v>
      </c>
      <c r="B18" s="7" t="s">
        <v>337</v>
      </c>
      <c r="C18" s="8" t="s">
        <v>159</v>
      </c>
    </row>
    <row r="19" spans="1:3">
      <c r="A19" s="5" t="s">
        <v>338</v>
      </c>
      <c r="B19" s="7" t="s">
        <v>339</v>
      </c>
      <c r="C19" s="8" t="s">
        <v>159</v>
      </c>
    </row>
    <row r="20" spans="1:3">
      <c r="A20" s="5" t="s">
        <v>340</v>
      </c>
      <c r="B20" s="7" t="s">
        <v>341</v>
      </c>
      <c r="C20" s="8" t="s">
        <v>342</v>
      </c>
    </row>
    <row r="21" spans="1:3">
      <c r="A21" s="5" t="s">
        <v>343</v>
      </c>
      <c r="B21" s="7" t="s">
        <v>344</v>
      </c>
      <c r="C21" s="8" t="s">
        <v>345</v>
      </c>
    </row>
    <row r="22" spans="1:3">
      <c r="A22" s="5" t="s">
        <v>346</v>
      </c>
      <c r="B22" s="7" t="s">
        <v>347</v>
      </c>
      <c r="C22" s="8" t="s">
        <v>159</v>
      </c>
    </row>
    <row r="23" spans="1:3">
      <c r="A23" s="5" t="s">
        <v>348</v>
      </c>
      <c r="B23" s="7" t="s">
        <v>349</v>
      </c>
      <c r="C23" s="8" t="s">
        <v>159</v>
      </c>
    </row>
    <row r="24" spans="1:3">
      <c r="A24" s="5" t="s">
        <v>350</v>
      </c>
      <c r="B24" s="7" t="s">
        <v>351</v>
      </c>
      <c r="C24" s="8" t="s">
        <v>159</v>
      </c>
    </row>
    <row r="25" spans="1:3">
      <c r="A25" s="5" t="s">
        <v>352</v>
      </c>
      <c r="B25" s="7" t="s">
        <v>353</v>
      </c>
      <c r="C25" s="8" t="s">
        <v>159</v>
      </c>
    </row>
    <row r="26" spans="1:3">
      <c r="A26" s="5" t="s">
        <v>354</v>
      </c>
      <c r="B26" s="7" t="s">
        <v>355</v>
      </c>
      <c r="C26" s="8" t="s">
        <v>159</v>
      </c>
    </row>
    <row r="27" spans="1:3">
      <c r="A27" s="5" t="s">
        <v>356</v>
      </c>
      <c r="B27" s="7" t="s">
        <v>357</v>
      </c>
      <c r="C27" s="8" t="s">
        <v>159</v>
      </c>
    </row>
    <row r="28" spans="1:3">
      <c r="A28" s="5" t="s">
        <v>358</v>
      </c>
      <c r="B28" s="7" t="s">
        <v>359</v>
      </c>
      <c r="C28" s="8" t="s">
        <v>172</v>
      </c>
    </row>
    <row r="29" spans="1:3">
      <c r="A29" s="5" t="s">
        <v>360</v>
      </c>
      <c r="B29" s="7" t="s">
        <v>361</v>
      </c>
      <c r="C29" s="8" t="s">
        <v>172</v>
      </c>
    </row>
    <row r="30" spans="1:3">
      <c r="A30" s="5" t="s">
        <v>362</v>
      </c>
      <c r="B30" s="7" t="s">
        <v>363</v>
      </c>
      <c r="C30" s="8" t="s">
        <v>172</v>
      </c>
    </row>
    <row r="31" spans="1:3">
      <c r="A31" s="5" t="s">
        <v>364</v>
      </c>
      <c r="B31" s="7" t="s">
        <v>365</v>
      </c>
      <c r="C31" s="8" t="s">
        <v>172</v>
      </c>
    </row>
    <row r="32" spans="1:3">
      <c r="A32" s="5" t="s">
        <v>366</v>
      </c>
      <c r="B32" s="7" t="s">
        <v>367</v>
      </c>
      <c r="C32" s="8" t="s">
        <v>172</v>
      </c>
    </row>
    <row r="33" spans="1:3">
      <c r="A33" s="5" t="s">
        <v>368</v>
      </c>
      <c r="B33" s="7" t="s">
        <v>369</v>
      </c>
      <c r="C33" s="8" t="s">
        <v>172</v>
      </c>
    </row>
    <row r="34" spans="1:3">
      <c r="A34" s="5" t="s">
        <v>370</v>
      </c>
      <c r="B34" s="7" t="s">
        <v>371</v>
      </c>
      <c r="C34" s="8" t="s">
        <v>159</v>
      </c>
    </row>
    <row r="35" spans="1:3">
      <c r="A35" s="5" t="s">
        <v>156</v>
      </c>
      <c r="B35" s="7" t="s">
        <v>157</v>
      </c>
      <c r="C35" s="8" t="s">
        <v>311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7204-B105-4767-918A-D06FA763A082}">
  <dimension ref="A1:C10"/>
  <sheetViews>
    <sheetView workbookViewId="0">
      <selection activeCell="D18" sqref="D18"/>
    </sheetView>
  </sheetViews>
  <sheetFormatPr defaultRowHeight="14.4"/>
  <cols>
    <col min="1" max="1" width="17.33203125" bestFit="1" customWidth="1"/>
    <col min="2" max="2" width="34.109375" bestFit="1" customWidth="1"/>
    <col min="3" max="3" width="60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162</v>
      </c>
      <c r="C2" s="4" t="s">
        <v>379</v>
      </c>
    </row>
    <row r="3" spans="1:3">
      <c r="A3" s="2" t="s">
        <v>6</v>
      </c>
      <c r="B3" s="3" t="s">
        <v>164</v>
      </c>
      <c r="C3" s="4" t="s">
        <v>380</v>
      </c>
    </row>
    <row r="4" spans="1:3">
      <c r="A4" s="2" t="s">
        <v>166</v>
      </c>
      <c r="B4" s="3" t="s">
        <v>373</v>
      </c>
      <c r="C4" s="4" t="s">
        <v>381</v>
      </c>
    </row>
    <row r="5" spans="1:3">
      <c r="A5" s="2" t="s">
        <v>168</v>
      </c>
      <c r="B5" s="3" t="s">
        <v>374</v>
      </c>
      <c r="C5" s="4" t="s">
        <v>381</v>
      </c>
    </row>
    <row r="6" spans="1:3">
      <c r="A6" s="2" t="s">
        <v>170</v>
      </c>
      <c r="B6" s="3" t="s">
        <v>171</v>
      </c>
      <c r="C6" s="4" t="s">
        <v>382</v>
      </c>
    </row>
    <row r="7" spans="1:3">
      <c r="A7" s="2" t="s">
        <v>173</v>
      </c>
      <c r="B7" s="3" t="s">
        <v>174</v>
      </c>
      <c r="C7" s="4" t="s">
        <v>382</v>
      </c>
    </row>
    <row r="8" spans="1:3">
      <c r="A8" s="2" t="s">
        <v>375</v>
      </c>
      <c r="B8" s="3" t="s">
        <v>376</v>
      </c>
      <c r="C8" s="4" t="s">
        <v>383</v>
      </c>
    </row>
    <row r="9" spans="1:3">
      <c r="A9" s="2" t="s">
        <v>377</v>
      </c>
      <c r="B9" s="3" t="s">
        <v>378</v>
      </c>
      <c r="C9" s="4" t="s">
        <v>384</v>
      </c>
    </row>
    <row r="10" spans="1:3">
      <c r="A10" s="2" t="s">
        <v>156</v>
      </c>
      <c r="B10" s="3" t="s">
        <v>157</v>
      </c>
      <c r="C10" s="4" t="s">
        <v>311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base_pagamento</vt:lpstr>
      <vt:lpstr>base_atraso</vt:lpstr>
      <vt:lpstr>base_recarga</vt:lpstr>
      <vt:lpstr>DEDUP_BASE_RECARGA</vt:lpstr>
      <vt:lpstr>base_telco</vt:lpstr>
      <vt:lpstr>base_cadastral</vt:lpstr>
      <vt:lpstr>base_bureau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Lima Rodovalho</dc:creator>
  <cp:lastModifiedBy>Jean Lima Rodovalho</cp:lastModifiedBy>
  <dcterms:created xsi:type="dcterms:W3CDTF">2025-12-30T15:24:15Z</dcterms:created>
  <dcterms:modified xsi:type="dcterms:W3CDTF">2025-12-31T13:13:45Z</dcterms:modified>
</cp:coreProperties>
</file>